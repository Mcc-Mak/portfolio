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cmak\Desktop\Certifications\CISSP\"/>
    </mc:Choice>
  </mc:AlternateContent>
  <xr:revisionPtr revIDLastSave="0" documentId="13_ncr:1_{FD93313A-4733-4E21-9D8C-3801A3CA4F8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學習進度（CISSP）" sheetId="1" r:id="rId1"/>
    <sheet name="難關" sheetId="2" r:id="rId2"/>
  </sheets>
  <definedNames>
    <definedName name="_xlnm._FilterDatabase" localSheetId="0" hidden="1">'學習進度（CISSP）'!$A$2:$Q$92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F36" i="1"/>
  <c r="F38" i="1"/>
  <c r="F39" i="1"/>
  <c r="F40" i="1"/>
  <c r="F41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D4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F26" i="1" l="1"/>
  <c r="F27" i="1"/>
  <c r="F28" i="1"/>
  <c r="F29" i="1"/>
  <c r="F25" i="1"/>
  <c r="F19" i="1"/>
  <c r="F20" i="1"/>
  <c r="F34" i="1" l="1"/>
  <c r="L4" i="1" l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</calcChain>
</file>

<file path=xl/sharedStrings.xml><?xml version="1.0" encoding="utf-8"?>
<sst xmlns="http://schemas.openxmlformats.org/spreadsheetml/2006/main" count="387" uniqueCount="172">
  <si>
    <t>Date</t>
  </si>
  <si>
    <t>Start</t>
  </si>
  <si>
    <t>v</t>
  </si>
  <si>
    <t>First Day</t>
  </si>
  <si>
    <t>Day 2</t>
  </si>
  <si>
    <t>Day 7</t>
  </si>
  <si>
    <t>Day 31</t>
  </si>
  <si>
    <t>Day 1</t>
  </si>
  <si>
    <t>Day 3</t>
  </si>
  <si>
    <t>Day 4</t>
  </si>
  <si>
    <t>Day 5</t>
  </si>
  <si>
    <t>Day 6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</si>
  <si>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</si>
  <si>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</si>
  <si>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</si>
  <si>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</si>
  <si>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</si>
  <si>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</si>
  <si>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</si>
  <si>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</si>
  <si>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</si>
  <si>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</si>
  <si>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</si>
  <si>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</si>
  <si>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</si>
  <si>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</si>
  <si>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</si>
  <si>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</si>
  <si>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</si>
  <si>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</si>
  <si>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</si>
  <si>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</si>
  <si>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</si>
  <si>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</si>
  <si>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</si>
  <si>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</si>
  <si>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</si>
  <si>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</si>
  <si>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</si>
  <si>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</si>
  <si>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</si>
  <si>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</si>
  <si>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</si>
  <si>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</si>
  <si>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</si>
  <si>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</si>
  <si>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</si>
  <si>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</si>
  <si>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</si>
  <si>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</si>
  <si>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</si>
  <si>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</si>
  <si>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</si>
  <si>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</si>
  <si>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</si>
  <si>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</si>
  <si>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</si>
  <si>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</si>
  <si>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</si>
  <si>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</si>
  <si>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</si>
  <si>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</si>
  <si>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</si>
  <si>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</si>
  <si>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</si>
  <si>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</si>
  <si>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</si>
  <si>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</si>
  <si>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</si>
  <si>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</si>
  <si>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</si>
  <si>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</si>
  <si>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</si>
  <si>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</si>
  <si>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</si>
  <si>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</si>
  <si>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</si>
  <si>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</si>
  <si>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</si>
  <si>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</si>
  <si>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</si>
  <si>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</si>
  <si>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</si>
  <si>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</si>
  <si>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</si>
  <si>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</si>
  <si>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</si>
  <si>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</si>
  <si>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</si>
  <si>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</si>
  <si>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</si>
  <si>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</si>
  <si>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</si>
  <si>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</si>
  <si>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Scope</t>
  </si>
  <si>
    <t>v1</t>
  </si>
  <si>
    <t>v11</t>
  </si>
  <si>
    <t>v12</t>
  </si>
  <si>
    <t>v19</t>
  </si>
  <si>
    <t>v20</t>
  </si>
  <si>
    <t>v26</t>
  </si>
  <si>
    <t>v27</t>
  </si>
  <si>
    <t>v29</t>
  </si>
  <si>
    <t>v30</t>
  </si>
  <si>
    <t>v35</t>
  </si>
  <si>
    <t>v36</t>
  </si>
  <si>
    <t>End</t>
  </si>
  <si>
    <t xml:space="preserve"> </t>
  </si>
  <si>
    <t>Videos daily</t>
  </si>
  <si>
    <t>Total Video</t>
  </si>
  <si>
    <t>v42</t>
  </si>
  <si>
    <t>v41</t>
  </si>
  <si>
    <t>v49</t>
  </si>
  <si>
    <t>難關</t>
  </si>
  <si>
    <t>Session 7</t>
  </si>
  <si>
    <t>3 / 5</t>
  </si>
  <si>
    <t>v50</t>
  </si>
  <si>
    <t>v55</t>
  </si>
  <si>
    <t>v56</t>
  </si>
  <si>
    <t>v57</t>
  </si>
  <si>
    <t>v58</t>
  </si>
  <si>
    <t>v61</t>
  </si>
  <si>
    <t>v (Day 8)</t>
  </si>
  <si>
    <t>v62</t>
  </si>
  <si>
    <t>v66</t>
  </si>
  <si>
    <t>v67</t>
  </si>
  <si>
    <t>v72</t>
  </si>
  <si>
    <t>v73</t>
  </si>
  <si>
    <t>v77</t>
  </si>
  <si>
    <t>v78</t>
  </si>
  <si>
    <t>v85</t>
  </si>
  <si>
    <t>v86</t>
  </si>
  <si>
    <t>v94</t>
  </si>
  <si>
    <t>v95</t>
  </si>
  <si>
    <t>v99</t>
  </si>
  <si>
    <t>v100</t>
  </si>
  <si>
    <t>v104</t>
  </si>
  <si>
    <t>v105</t>
  </si>
  <si>
    <t>（休息）</t>
  </si>
  <si>
    <t>（耶穌受難日 - 休息）</t>
  </si>
  <si>
    <t>v (Day 9)</t>
  </si>
  <si>
    <t>v116</t>
  </si>
  <si>
    <t>v117</t>
  </si>
  <si>
    <t>v129</t>
  </si>
  <si>
    <t>v130</t>
  </si>
  <si>
    <t>v138</t>
  </si>
  <si>
    <t>v139</t>
  </si>
  <si>
    <t>v142</t>
  </si>
  <si>
    <t>v143</t>
  </si>
  <si>
    <t>v (Day 32)</t>
  </si>
  <si>
    <t>v (Day 33)</t>
  </si>
  <si>
    <t>v148</t>
  </si>
  <si>
    <t>v149</t>
  </si>
  <si>
    <t>v151</t>
  </si>
  <si>
    <t>(n.a.)</t>
  </si>
  <si>
    <t>v (Day 35)</t>
  </si>
  <si>
    <t>v (Day 34)</t>
  </si>
  <si>
    <t>v152</t>
  </si>
  <si>
    <t>v156</t>
  </si>
  <si>
    <t>v157</t>
  </si>
  <si>
    <t>v (Day 12)</t>
  </si>
  <si>
    <t>v168</t>
  </si>
  <si>
    <t>v169</t>
  </si>
  <si>
    <t>v179</t>
  </si>
  <si>
    <t>v180</t>
  </si>
  <si>
    <t>v216</t>
  </si>
  <si>
    <t>v215</t>
  </si>
  <si>
    <t>v223</t>
  </si>
  <si>
    <t>v224</t>
  </si>
  <si>
    <t>v239</t>
  </si>
  <si>
    <t>v240</t>
  </si>
  <si>
    <t>v248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</si>
</sst>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1" xfId="0" applyBorder="1"/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Fill="1" applyBorder="1" applyAlignment="1">
      <alignment horizontal="center" vertical="center"/>
    </xf>
    <xf numFmtId="0" fontId="0" fillId="0" borderId="16" xfId="0" applyBorder="1"/>
    <xf numFmtId="0" fontId="0" fillId="0" borderId="20" xfId="0" applyBorder="1"/>
    <xf numFmtId="164" fontId="0" fillId="3" borderId="14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 applyBorder="1"/>
    <xf numFmtId="0" fontId="0" fillId="0" borderId="21" xfId="0" applyBorder="1" applyAlignment="1"/>
    <xf numFmtId="0" fontId="0" fillId="3" borderId="2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7" xfId="0" applyFill="1" applyBorder="1"/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0" xfId="0" applyNumberFormat="1"/>
    <xf numFmtId="164" fontId="0" fillId="7" borderId="3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2" fontId="0" fillId="0" borderId="0" xfId="0" applyNumberFormat="1"/>
    <xf numFmtId="2" fontId="0" fillId="0" borderId="4" xfId="0" applyNumberFormat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18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</cellXfs>
  <cellStyles count="1">
    <cellStyle name="一般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topLeftCell="B1" zoomScale="130" zoomScaleNormal="130" workbookViewId="0">
      <pane ySplit="2" topLeftCell="A36" activePane="bottomLeft" state="frozen"/>
      <selection pane="bottomLeft" activeCell="I42" sqref="I42"/>
    </sheetView>
  </sheetViews>
  <sheetFormatPr defaultRowHeight="15" x14ac:dyDescent="0.25"/>
  <cols>
    <col min="1" max="1" width="9.140625" style="8"/>
    <col min="2" max="2" width="16.85546875" style="9" customWidth="1"/>
    <col min="3" max="6" width="16.85546875" style="8" customWidth="1"/>
    <col min="7" max="7" width="11.140625" bestFit="1" customWidth="1"/>
    <col min="8" max="9" width="9.140625" style="8"/>
    <col min="11" max="15" width="11.42578125" bestFit="1" customWidth="1"/>
    <col min="16" max="16" width="7.85546875" style="27" customWidth="1"/>
    <col min="17" max="17" width="11.140625" bestFit="1" customWidth="1"/>
  </cols>
  <sheetData>
    <row r="1" spans="1:17" ht="15.75" thickBot="1" x14ac:dyDescent="0.3">
      <c r="A1" s="47"/>
      <c r="B1" s="49" t="s">
        <v>0</v>
      </c>
      <c r="C1" s="51" t="s">
        <v>3</v>
      </c>
      <c r="D1" s="51" t="s">
        <v>4</v>
      </c>
      <c r="E1" s="51" t="s">
        <v>5</v>
      </c>
      <c r="F1" s="51" t="s">
        <v>6</v>
      </c>
      <c r="H1" s="53" t="s">
        <v>94</v>
      </c>
      <c r="I1" s="54"/>
      <c r="K1" s="55" t="s">
        <v>108</v>
      </c>
      <c r="L1" s="56"/>
      <c r="M1" s="56"/>
      <c r="N1" s="56"/>
      <c r="O1" s="57"/>
      <c r="P1" s="30"/>
      <c r="Q1" s="28" t="s">
        <v>109</v>
      </c>
    </row>
    <row r="2" spans="1:17" ht="15.75" thickBot="1" x14ac:dyDescent="0.3">
      <c r="A2" s="48"/>
      <c r="B2" s="50"/>
      <c r="C2" s="52"/>
      <c r="D2" s="52"/>
      <c r="E2" s="52"/>
      <c r="F2" s="52"/>
      <c r="H2" s="20" t="s">
        <v>1</v>
      </c>
      <c r="I2" s="20" t="s">
        <v>106</v>
      </c>
      <c r="K2" s="33">
        <v>4</v>
      </c>
      <c r="L2" s="31">
        <v>5</v>
      </c>
      <c r="M2" s="31">
        <v>6</v>
      </c>
      <c r="N2" s="31">
        <v>7</v>
      </c>
      <c r="O2" s="32">
        <v>8</v>
      </c>
      <c r="P2" s="30"/>
      <c r="Q2" s="29">
        <v>260</v>
      </c>
    </row>
    <row r="3" spans="1:17" x14ac:dyDescent="0.25">
      <c r="A3" s="23" t="s">
        <v>7</v>
      </c>
      <c r="B3" s="21">
        <v>46090</v>
      </c>
      <c r="C3" s="11" t="s">
        <v>2</v>
      </c>
      <c r="D3" s="2" t="s">
        <v>2</v>
      </c>
      <c r="E3" s="2" t="s">
        <v>2</v>
      </c>
      <c r="F3" s="3" t="s">
        <v>149</v>
      </c>
      <c r="H3" s="12" t="s">
        <v>95</v>
      </c>
      <c r="I3" s="15" t="s">
        <v>96</v>
      </c>
      <c r="J3" t="s">
        <v>107</v>
      </c>
      <c r="K3" s="34">
        <v>1</v>
      </c>
      <c r="L3" s="16">
        <v>1</v>
      </c>
      <c r="M3" s="16">
        <v>1</v>
      </c>
      <c r="N3" s="16">
        <v>1</v>
      </c>
      <c r="O3" s="17">
        <v>1</v>
      </c>
    </row>
    <row r="4" spans="1:17" x14ac:dyDescent="0.25">
      <c r="A4" s="4" t="s">
        <v>4</v>
      </c>
      <c r="B4" s="18">
        <v>46091</v>
      </c>
      <c r="C4" s="10" t="s">
        <v>2</v>
      </c>
      <c r="D4" s="5" t="s">
        <v>2</v>
      </c>
      <c r="E4" s="5" t="s">
        <v>2</v>
      </c>
      <c r="F4" s="6" t="s">
        <v>2</v>
      </c>
      <c r="H4" s="13" t="s">
        <v>97</v>
      </c>
      <c r="I4" s="4" t="s">
        <v>98</v>
      </c>
      <c r="J4" t="s">
        <v>107</v>
      </c>
      <c r="K4" s="1">
        <f>IF(ISNUMBER(K3),IF(K3+K$2&gt;$Q$2, "Completion", K3+K$2),"")</f>
        <v>5</v>
      </c>
      <c r="L4" s="1">
        <f t="shared" ref="L4:O4" si="0">IF(ISNUMBER(L3),IF(L3+L$2&gt;$Q$2, "Completion", L3+L$2),"")</f>
        <v>6</v>
      </c>
      <c r="M4" s="1">
        <f t="shared" si="0"/>
        <v>7</v>
      </c>
      <c r="N4" s="1">
        <f t="shared" si="0"/>
        <v>8</v>
      </c>
      <c r="O4" s="1">
        <f t="shared" si="0"/>
        <v>9</v>
      </c>
    </row>
    <row r="5" spans="1:17" x14ac:dyDescent="0.25">
      <c r="A5" s="4" t="s">
        <v>8</v>
      </c>
      <c r="B5" s="18">
        <v>46092</v>
      </c>
      <c r="C5" s="10" t="s">
        <v>2</v>
      </c>
      <c r="D5" s="5" t="s">
        <v>2</v>
      </c>
      <c r="E5" s="5" t="s">
        <v>2</v>
      </c>
      <c r="F5" s="6" t="s">
        <v>150</v>
      </c>
      <c r="H5" s="13" t="s">
        <v>99</v>
      </c>
      <c r="I5" s="4" t="s">
        <v>100</v>
      </c>
      <c r="J5" t="s">
        <v>107</v>
      </c>
      <c r="K5" s="1">
        <f t="shared" ref="K5:K68" si="1">IF(ISNUMBER(K4),IF(K4+K$2&gt;$Q$2, "Completion", K4+K$2),"")</f>
        <v>9</v>
      </c>
      <c r="L5" s="1">
        <f t="shared" ref="L5:L68" si="2">IF(ISNUMBER(L4),IF(L4+L$2&gt;$Q$2, "Completion", L4+L$2),"")</f>
        <v>11</v>
      </c>
      <c r="M5" s="1">
        <f t="shared" ref="M5:M68" si="3">IF(ISNUMBER(M4),IF(M4+M$2&gt;$Q$2, "Completion", M4+M$2),"")</f>
        <v>13</v>
      </c>
      <c r="N5" s="1">
        <f t="shared" ref="N5:N68" si="4">IF(ISNUMBER(N4),IF(N4+N$2&gt;$Q$2, "Completion", N4+N$2),"")</f>
        <v>15</v>
      </c>
      <c r="O5" s="1">
        <f t="shared" ref="O5:O68" si="5">IF(ISNUMBER(O4),IF(O4+O$2&gt;$Q$2, "Completion", O4+O$2),"")</f>
        <v>17</v>
      </c>
    </row>
    <row r="6" spans="1:17" x14ac:dyDescent="0.25">
      <c r="A6" s="4" t="s">
        <v>9</v>
      </c>
      <c r="B6" s="18">
        <v>46093</v>
      </c>
      <c r="C6" s="10" t="s">
        <v>2</v>
      </c>
      <c r="D6" s="5" t="s">
        <v>2</v>
      </c>
      <c r="E6" s="5" t="s">
        <v>2</v>
      </c>
      <c r="F6" s="6" t="s">
        <v>150</v>
      </c>
      <c r="H6" s="13" t="s">
        <v>101</v>
      </c>
      <c r="I6" s="4" t="s">
        <v>102</v>
      </c>
      <c r="J6" t="s">
        <v>107</v>
      </c>
      <c r="K6" s="1">
        <f t="shared" si="1"/>
        <v>13</v>
      </c>
      <c r="L6" s="1">
        <f t="shared" si="2"/>
        <v>16</v>
      </c>
      <c r="M6" s="1">
        <f t="shared" si="3"/>
        <v>19</v>
      </c>
      <c r="N6" s="1">
        <f t="shared" si="4"/>
        <v>22</v>
      </c>
      <c r="O6" s="1">
        <f t="shared" si="5"/>
        <v>25</v>
      </c>
    </row>
    <row r="7" spans="1:17" x14ac:dyDescent="0.25">
      <c r="A7" s="4" t="s">
        <v>10</v>
      </c>
      <c r="B7" s="18">
        <v>46094</v>
      </c>
      <c r="C7" s="10" t="s">
        <v>2</v>
      </c>
      <c r="D7" s="5" t="s">
        <v>2</v>
      </c>
      <c r="E7" s="5" t="s">
        <v>122</v>
      </c>
      <c r="F7" s="6" t="s">
        <v>2</v>
      </c>
      <c r="H7" s="13" t="s">
        <v>103</v>
      </c>
      <c r="I7" s="4" t="s">
        <v>104</v>
      </c>
      <c r="J7" t="s">
        <v>107</v>
      </c>
      <c r="K7" s="1">
        <f t="shared" si="1"/>
        <v>17</v>
      </c>
      <c r="L7" s="1">
        <f t="shared" si="2"/>
        <v>21</v>
      </c>
      <c r="M7" s="1">
        <f t="shared" si="3"/>
        <v>25</v>
      </c>
      <c r="N7" s="1">
        <f t="shared" si="4"/>
        <v>29</v>
      </c>
      <c r="O7" s="1">
        <f t="shared" si="5"/>
        <v>33</v>
      </c>
    </row>
    <row r="8" spans="1:17" x14ac:dyDescent="0.25">
      <c r="A8" s="24" t="s">
        <v>11</v>
      </c>
      <c r="B8" s="22">
        <v>46097</v>
      </c>
      <c r="C8" s="10" t="s">
        <v>2</v>
      </c>
      <c r="D8" s="5" t="s">
        <v>2</v>
      </c>
      <c r="E8" s="5" t="s">
        <v>2</v>
      </c>
      <c r="F8" s="6" t="s">
        <v>156</v>
      </c>
      <c r="G8" s="39"/>
      <c r="H8" s="13" t="s">
        <v>105</v>
      </c>
      <c r="I8" s="4" t="s">
        <v>111</v>
      </c>
      <c r="J8" t="s">
        <v>107</v>
      </c>
      <c r="K8" s="1">
        <f t="shared" si="1"/>
        <v>21</v>
      </c>
      <c r="L8" s="1">
        <f t="shared" si="2"/>
        <v>26</v>
      </c>
      <c r="M8" s="1">
        <f t="shared" si="3"/>
        <v>31</v>
      </c>
      <c r="N8" s="1">
        <f t="shared" si="4"/>
        <v>36</v>
      </c>
      <c r="O8" s="1">
        <f t="shared" si="5"/>
        <v>41</v>
      </c>
    </row>
    <row r="9" spans="1:17" x14ac:dyDescent="0.25">
      <c r="A9" s="4" t="s">
        <v>5</v>
      </c>
      <c r="B9" s="18">
        <v>46098</v>
      </c>
      <c r="C9" s="10" t="s">
        <v>2</v>
      </c>
      <c r="D9" s="5" t="s">
        <v>2</v>
      </c>
      <c r="E9" s="5" t="s">
        <v>2</v>
      </c>
      <c r="F9" s="6" t="s">
        <v>155</v>
      </c>
      <c r="G9" s="45"/>
      <c r="H9" s="13" t="s">
        <v>110</v>
      </c>
      <c r="I9" s="4" t="s">
        <v>112</v>
      </c>
      <c r="J9" t="s">
        <v>107</v>
      </c>
      <c r="K9" s="1">
        <f t="shared" si="1"/>
        <v>25</v>
      </c>
      <c r="L9" s="1">
        <f t="shared" si="2"/>
        <v>31</v>
      </c>
      <c r="M9" s="1">
        <f t="shared" si="3"/>
        <v>37</v>
      </c>
      <c r="N9" s="1">
        <f t="shared" si="4"/>
        <v>43</v>
      </c>
      <c r="O9" s="1">
        <f t="shared" si="5"/>
        <v>49</v>
      </c>
    </row>
    <row r="10" spans="1:17" x14ac:dyDescent="0.25">
      <c r="A10" s="4" t="s">
        <v>12</v>
      </c>
      <c r="B10" s="18">
        <v>46099</v>
      </c>
      <c r="C10" s="10" t="s">
        <v>2</v>
      </c>
      <c r="D10" s="5" t="s">
        <v>2</v>
      </c>
      <c r="E10" s="5" t="s">
        <v>2</v>
      </c>
      <c r="F10" s="6" t="s">
        <v>156</v>
      </c>
      <c r="G10" s="45"/>
      <c r="H10" s="13" t="s">
        <v>116</v>
      </c>
      <c r="I10" s="4" t="s">
        <v>117</v>
      </c>
      <c r="J10" t="s">
        <v>107</v>
      </c>
      <c r="K10" s="1">
        <f t="shared" si="1"/>
        <v>29</v>
      </c>
      <c r="L10" s="1">
        <f t="shared" si="2"/>
        <v>36</v>
      </c>
      <c r="M10" s="1">
        <f t="shared" si="3"/>
        <v>43</v>
      </c>
      <c r="N10" s="1">
        <f t="shared" si="4"/>
        <v>50</v>
      </c>
      <c r="O10" s="1">
        <f t="shared" si="5"/>
        <v>57</v>
      </c>
    </row>
    <row r="11" spans="1:17" x14ac:dyDescent="0.25">
      <c r="A11" s="4" t="s">
        <v>13</v>
      </c>
      <c r="B11" s="18">
        <v>46100</v>
      </c>
      <c r="C11" s="10" t="s">
        <v>2</v>
      </c>
      <c r="D11" s="5" t="s">
        <v>2</v>
      </c>
      <c r="E11" s="5" t="s">
        <v>2</v>
      </c>
      <c r="F11" s="6" t="s">
        <v>150</v>
      </c>
      <c r="G11" s="45"/>
      <c r="H11" s="13" t="s">
        <v>118</v>
      </c>
      <c r="I11" s="4" t="s">
        <v>119</v>
      </c>
      <c r="J11" t="s">
        <v>107</v>
      </c>
      <c r="K11" s="1">
        <f t="shared" si="1"/>
        <v>33</v>
      </c>
      <c r="L11" s="1">
        <f t="shared" si="2"/>
        <v>41</v>
      </c>
      <c r="M11" s="1">
        <f t="shared" si="3"/>
        <v>49</v>
      </c>
      <c r="N11" s="1">
        <f t="shared" si="4"/>
        <v>57</v>
      </c>
      <c r="O11" s="1">
        <f t="shared" si="5"/>
        <v>65</v>
      </c>
    </row>
    <row r="12" spans="1:17" x14ac:dyDescent="0.25">
      <c r="A12" s="4" t="s">
        <v>14</v>
      </c>
      <c r="B12" s="18">
        <v>46101</v>
      </c>
      <c r="C12" s="10" t="s">
        <v>2</v>
      </c>
      <c r="D12" s="5" t="s">
        <v>2</v>
      </c>
      <c r="E12" s="5" t="s">
        <v>2</v>
      </c>
      <c r="F12" s="6" t="s">
        <v>149</v>
      </c>
      <c r="G12" s="45"/>
      <c r="H12" s="13" t="s">
        <v>120</v>
      </c>
      <c r="I12" s="4" t="s">
        <v>121</v>
      </c>
      <c r="J12" t="s">
        <v>107</v>
      </c>
      <c r="K12" s="1">
        <f t="shared" si="1"/>
        <v>37</v>
      </c>
      <c r="L12" s="1">
        <f t="shared" si="2"/>
        <v>46</v>
      </c>
      <c r="M12" s="1">
        <f t="shared" si="3"/>
        <v>55</v>
      </c>
      <c r="N12" s="1">
        <f t="shared" si="4"/>
        <v>64</v>
      </c>
      <c r="O12" s="1">
        <f t="shared" si="5"/>
        <v>73</v>
      </c>
    </row>
    <row r="13" spans="1:17" x14ac:dyDescent="0.25">
      <c r="A13" s="24" t="s">
        <v>15</v>
      </c>
      <c r="B13" s="22">
        <v>46104</v>
      </c>
      <c r="C13" s="10" t="s">
        <v>2</v>
      </c>
      <c r="D13" s="5" t="s">
        <v>2</v>
      </c>
      <c r="E13" s="5" t="s">
        <v>2</v>
      </c>
      <c r="F13" s="6" t="s">
        <v>2</v>
      </c>
      <c r="H13" s="13" t="s">
        <v>123</v>
      </c>
      <c r="I13" s="4" t="s">
        <v>124</v>
      </c>
      <c r="J13" t="s">
        <v>107</v>
      </c>
      <c r="K13" s="1">
        <f t="shared" si="1"/>
        <v>41</v>
      </c>
      <c r="L13" s="1">
        <f t="shared" si="2"/>
        <v>51</v>
      </c>
      <c r="M13" s="1">
        <f t="shared" si="3"/>
        <v>61</v>
      </c>
      <c r="N13" s="1">
        <f t="shared" si="4"/>
        <v>71</v>
      </c>
      <c r="O13" s="1">
        <f t="shared" si="5"/>
        <v>81</v>
      </c>
    </row>
    <row r="14" spans="1:17" x14ac:dyDescent="0.25">
      <c r="A14" s="4" t="s">
        <v>16</v>
      </c>
      <c r="B14" s="18">
        <v>46105</v>
      </c>
      <c r="C14" s="10" t="s">
        <v>2</v>
      </c>
      <c r="D14" s="5" t="s">
        <v>2</v>
      </c>
      <c r="E14" s="5" t="s">
        <v>2</v>
      </c>
      <c r="F14" s="6" t="s">
        <v>2</v>
      </c>
      <c r="H14" s="13" t="s">
        <v>125</v>
      </c>
      <c r="I14" s="4" t="s">
        <v>126</v>
      </c>
      <c r="J14" t="s">
        <v>107</v>
      </c>
      <c r="K14" s="1">
        <f t="shared" si="1"/>
        <v>45</v>
      </c>
      <c r="L14" s="1">
        <f t="shared" si="2"/>
        <v>56</v>
      </c>
      <c r="M14" s="1">
        <f t="shared" si="3"/>
        <v>67</v>
      </c>
      <c r="N14" s="1">
        <f t="shared" si="4"/>
        <v>78</v>
      </c>
      <c r="O14" s="1">
        <f t="shared" si="5"/>
        <v>89</v>
      </c>
    </row>
    <row r="15" spans="1:17" x14ac:dyDescent="0.25">
      <c r="A15" s="4" t="s">
        <v>17</v>
      </c>
      <c r="B15" s="18">
        <v>46106</v>
      </c>
      <c r="C15" s="10" t="s">
        <v>2</v>
      </c>
      <c r="D15" s="5" t="s">
        <v>2</v>
      </c>
      <c r="E15" s="5" t="s">
        <v>2</v>
      </c>
      <c r="F15" s="6" t="s">
        <v>150</v>
      </c>
      <c r="G15" s="45"/>
      <c r="H15" s="13" t="s">
        <v>127</v>
      </c>
      <c r="I15" s="4" t="s">
        <v>128</v>
      </c>
      <c r="J15" t="s">
        <v>107</v>
      </c>
      <c r="K15" s="1">
        <f t="shared" si="1"/>
        <v>49</v>
      </c>
      <c r="L15" s="1">
        <f t="shared" si="2"/>
        <v>61</v>
      </c>
      <c r="M15" s="1">
        <f t="shared" si="3"/>
        <v>73</v>
      </c>
      <c r="N15" s="1">
        <f t="shared" si="4"/>
        <v>85</v>
      </c>
      <c r="O15" s="1">
        <f t="shared" si="5"/>
        <v>97</v>
      </c>
    </row>
    <row r="16" spans="1:17" x14ac:dyDescent="0.25">
      <c r="A16" s="4" t="s">
        <v>18</v>
      </c>
      <c r="B16" s="18">
        <v>46107</v>
      </c>
      <c r="C16" s="10" t="s">
        <v>2</v>
      </c>
      <c r="D16" s="5" t="s">
        <v>2</v>
      </c>
      <c r="E16" s="5" t="s">
        <v>2</v>
      </c>
      <c r="F16" s="6" t="s">
        <v>150</v>
      </c>
      <c r="G16" s="45"/>
      <c r="H16" s="13" t="s">
        <v>129</v>
      </c>
      <c r="I16" s="4" t="s">
        <v>130</v>
      </c>
      <c r="J16" t="s">
        <v>107</v>
      </c>
      <c r="K16" s="1">
        <f t="shared" si="1"/>
        <v>53</v>
      </c>
      <c r="L16" s="1">
        <f t="shared" si="2"/>
        <v>66</v>
      </c>
      <c r="M16" s="1">
        <f t="shared" si="3"/>
        <v>79</v>
      </c>
      <c r="N16" s="1">
        <f t="shared" si="4"/>
        <v>92</v>
      </c>
      <c r="O16" s="1">
        <f t="shared" si="5"/>
        <v>105</v>
      </c>
    </row>
    <row r="17" spans="1:15" x14ac:dyDescent="0.25">
      <c r="A17" s="4" t="s">
        <v>19</v>
      </c>
      <c r="B17" s="18">
        <v>46108</v>
      </c>
      <c r="C17" s="10" t="s">
        <v>2</v>
      </c>
      <c r="D17" s="5" t="s">
        <v>2</v>
      </c>
      <c r="E17" s="5" t="s">
        <v>2</v>
      </c>
      <c r="F17" s="6" t="s">
        <v>149</v>
      </c>
      <c r="G17" s="45"/>
      <c r="H17" s="13" t="s">
        <v>131</v>
      </c>
      <c r="I17" s="4" t="s">
        <v>132</v>
      </c>
      <c r="J17" t="s">
        <v>107</v>
      </c>
      <c r="K17" s="1">
        <f t="shared" si="1"/>
        <v>57</v>
      </c>
      <c r="L17" s="1">
        <f t="shared" si="2"/>
        <v>71</v>
      </c>
      <c r="M17" s="1">
        <f t="shared" si="3"/>
        <v>85</v>
      </c>
      <c r="N17" s="1">
        <f t="shared" si="4"/>
        <v>99</v>
      </c>
      <c r="O17" s="1">
        <f t="shared" si="5"/>
        <v>113</v>
      </c>
    </row>
    <row r="18" spans="1:15" x14ac:dyDescent="0.25">
      <c r="A18" s="24" t="s">
        <v>20</v>
      </c>
      <c r="B18" s="22">
        <v>46111</v>
      </c>
      <c r="C18" s="10" t="s">
        <v>2</v>
      </c>
      <c r="D18" s="5" t="s">
        <v>2</v>
      </c>
      <c r="E18" s="5" t="s">
        <v>140</v>
      </c>
      <c r="F18" s="46" t="s">
        <v>2</v>
      </c>
      <c r="G18" s="45"/>
      <c r="H18" s="13" t="s">
        <v>133</v>
      </c>
      <c r="I18" s="4" t="s">
        <v>134</v>
      </c>
      <c r="J18" t="s">
        <v>107</v>
      </c>
      <c r="K18" s="1">
        <f t="shared" si="1"/>
        <v>61</v>
      </c>
      <c r="L18" s="1">
        <f t="shared" si="2"/>
        <v>76</v>
      </c>
      <c r="M18" s="1">
        <f t="shared" si="3"/>
        <v>91</v>
      </c>
      <c r="N18" s="1">
        <f t="shared" si="4"/>
        <v>106</v>
      </c>
      <c r="O18" s="1">
        <f t="shared" si="5"/>
        <v>121</v>
      </c>
    </row>
    <row r="19" spans="1:15" x14ac:dyDescent="0.25">
      <c r="A19" s="4" t="s">
        <v>21</v>
      </c>
      <c r="B19" s="18">
        <v>46112</v>
      </c>
      <c r="C19" s="10" t="s">
        <v>2</v>
      </c>
      <c r="D19" s="5" t="s">
        <v>2</v>
      </c>
      <c r="E19" s="5" t="s">
        <v>122</v>
      </c>
      <c r="F19" s="46">
        <f t="shared" ref="F19:F20" ca="1" si="6">IF($B19+31=TODAY(),TODAY(), TODAY()-B19)</f>
        <v>30</v>
      </c>
      <c r="G19" s="45"/>
      <c r="H19" s="13" t="s">
        <v>135</v>
      </c>
      <c r="I19" s="4" t="s">
        <v>136</v>
      </c>
      <c r="J19" t="s">
        <v>107</v>
      </c>
      <c r="K19" s="1">
        <f t="shared" si="1"/>
        <v>65</v>
      </c>
      <c r="L19" s="1">
        <f t="shared" si="2"/>
        <v>81</v>
      </c>
      <c r="M19" s="1">
        <f t="shared" si="3"/>
        <v>97</v>
      </c>
      <c r="N19" s="1">
        <f t="shared" si="4"/>
        <v>113</v>
      </c>
      <c r="O19" s="1">
        <f t="shared" si="5"/>
        <v>129</v>
      </c>
    </row>
    <row r="20" spans="1:15" ht="15.75" thickBot="1" x14ac:dyDescent="0.3">
      <c r="A20" s="4" t="s">
        <v>22</v>
      </c>
      <c r="B20" s="18">
        <v>46113</v>
      </c>
      <c r="C20" s="10" t="s">
        <v>2</v>
      </c>
      <c r="D20" s="5" t="s">
        <v>2</v>
      </c>
      <c r="E20" s="5" t="s">
        <v>2</v>
      </c>
      <c r="F20" s="46">
        <f t="shared" ca="1" si="6"/>
        <v>29</v>
      </c>
      <c r="G20" s="45"/>
      <c r="H20" s="35" t="s">
        <v>137</v>
      </c>
      <c r="I20" s="36" t="s">
        <v>141</v>
      </c>
      <c r="J20" t="s">
        <v>107</v>
      </c>
      <c r="K20" s="1">
        <f t="shared" si="1"/>
        <v>69</v>
      </c>
      <c r="L20" s="1">
        <f t="shared" si="2"/>
        <v>86</v>
      </c>
      <c r="M20" s="1">
        <f t="shared" si="3"/>
        <v>103</v>
      </c>
      <c r="N20" s="1">
        <f t="shared" si="4"/>
        <v>120</v>
      </c>
      <c r="O20" s="1">
        <f t="shared" si="5"/>
        <v>137</v>
      </c>
    </row>
    <row r="21" spans="1:15" x14ac:dyDescent="0.25">
      <c r="A21" s="4" t="s">
        <v>23</v>
      </c>
      <c r="B21" s="18">
        <v>46114</v>
      </c>
      <c r="C21" s="58" t="s">
        <v>139</v>
      </c>
      <c r="D21" s="59"/>
      <c r="E21" s="59"/>
      <c r="F21" s="60"/>
      <c r="H21" s="67" t="s">
        <v>138</v>
      </c>
      <c r="I21" s="68"/>
      <c r="J21" t="s">
        <v>107</v>
      </c>
      <c r="K21" s="1">
        <f t="shared" si="1"/>
        <v>73</v>
      </c>
      <c r="L21" s="1">
        <f t="shared" si="2"/>
        <v>91</v>
      </c>
      <c r="M21" s="1">
        <f t="shared" si="3"/>
        <v>109</v>
      </c>
      <c r="N21" s="1">
        <f t="shared" si="4"/>
        <v>127</v>
      </c>
      <c r="O21" s="1">
        <f t="shared" si="5"/>
        <v>145</v>
      </c>
    </row>
    <row r="22" spans="1:15" x14ac:dyDescent="0.25">
      <c r="A22" s="4" t="s">
        <v>24</v>
      </c>
      <c r="B22" s="18">
        <v>46115</v>
      </c>
      <c r="C22" s="61"/>
      <c r="D22" s="62"/>
      <c r="E22" s="62"/>
      <c r="F22" s="63"/>
      <c r="H22" s="69"/>
      <c r="I22" s="70"/>
      <c r="J22" t="s">
        <v>107</v>
      </c>
      <c r="K22" s="1">
        <f t="shared" si="1"/>
        <v>77</v>
      </c>
      <c r="L22" s="1">
        <f t="shared" si="2"/>
        <v>96</v>
      </c>
      <c r="M22" s="1">
        <f t="shared" si="3"/>
        <v>115</v>
      </c>
      <c r="N22" s="1">
        <f t="shared" si="4"/>
        <v>134</v>
      </c>
      <c r="O22" s="1">
        <f t="shared" si="5"/>
        <v>153</v>
      </c>
    </row>
    <row r="23" spans="1:15" x14ac:dyDescent="0.25">
      <c r="A23" s="24" t="s">
        <v>25</v>
      </c>
      <c r="B23" s="22">
        <v>46118</v>
      </c>
      <c r="C23" s="61"/>
      <c r="D23" s="62"/>
      <c r="E23" s="62"/>
      <c r="F23" s="63"/>
      <c r="H23" s="69"/>
      <c r="I23" s="70"/>
      <c r="J23" t="s">
        <v>107</v>
      </c>
      <c r="K23" s="1">
        <f t="shared" si="1"/>
        <v>81</v>
      </c>
      <c r="L23" s="1">
        <f t="shared" si="2"/>
        <v>101</v>
      </c>
      <c r="M23" s="1">
        <f t="shared" si="3"/>
        <v>121</v>
      </c>
      <c r="N23" s="1">
        <f t="shared" si="4"/>
        <v>141</v>
      </c>
      <c r="O23" s="1">
        <f t="shared" si="5"/>
        <v>161</v>
      </c>
    </row>
    <row r="24" spans="1:15" ht="15.75" thickBot="1" x14ac:dyDescent="0.3">
      <c r="A24" s="4" t="s">
        <v>26</v>
      </c>
      <c r="B24" s="18">
        <v>46119</v>
      </c>
      <c r="C24" s="64"/>
      <c r="D24" s="65"/>
      <c r="E24" s="65"/>
      <c r="F24" s="66"/>
      <c r="H24" s="71"/>
      <c r="I24" s="72"/>
      <c r="J24" t="s">
        <v>107</v>
      </c>
      <c r="K24" s="1">
        <f t="shared" si="1"/>
        <v>85</v>
      </c>
      <c r="L24" s="1">
        <f t="shared" si="2"/>
        <v>106</v>
      </c>
      <c r="M24" s="1">
        <f t="shared" si="3"/>
        <v>127</v>
      </c>
      <c r="N24" s="1">
        <f t="shared" si="4"/>
        <v>148</v>
      </c>
      <c r="O24" s="1">
        <f t="shared" si="5"/>
        <v>169</v>
      </c>
    </row>
    <row r="25" spans="1:15" x14ac:dyDescent="0.25">
      <c r="A25" s="4" t="s">
        <v>27</v>
      </c>
      <c r="B25" s="18">
        <v>46120</v>
      </c>
      <c r="C25" s="10" t="s">
        <v>2</v>
      </c>
      <c r="D25" s="5" t="s">
        <v>2</v>
      </c>
      <c r="E25" s="5" t="s">
        <v>2</v>
      </c>
      <c r="F25" s="46">
        <f ca="1">IF($B25+31=TODAY(),TODAY(), TODAY()-B25)</f>
        <v>22</v>
      </c>
      <c r="G25" s="45"/>
      <c r="H25" s="37" t="s">
        <v>142</v>
      </c>
      <c r="I25" s="38" t="s">
        <v>143</v>
      </c>
      <c r="J25" t="s">
        <v>107</v>
      </c>
      <c r="K25" s="1">
        <f t="shared" si="1"/>
        <v>89</v>
      </c>
      <c r="L25" s="1">
        <f t="shared" si="2"/>
        <v>111</v>
      </c>
      <c r="M25" s="1">
        <f t="shared" si="3"/>
        <v>133</v>
      </c>
      <c r="N25" s="1">
        <f t="shared" si="4"/>
        <v>155</v>
      </c>
      <c r="O25" s="1">
        <f t="shared" si="5"/>
        <v>177</v>
      </c>
    </row>
    <row r="26" spans="1:15" x14ac:dyDescent="0.25">
      <c r="A26" s="4" t="s">
        <v>28</v>
      </c>
      <c r="B26" s="18">
        <v>46121</v>
      </c>
      <c r="C26" s="10" t="s">
        <v>2</v>
      </c>
      <c r="D26" s="5" t="s">
        <v>2</v>
      </c>
      <c r="E26" s="5" t="s">
        <v>2</v>
      </c>
      <c r="F26" s="46">
        <f t="shared" ref="F26:F29" ca="1" si="7">IF($B26+31=TODAY(),TODAY(), TODAY()-B26)</f>
        <v>21</v>
      </c>
      <c r="H26" s="13" t="s">
        <v>144</v>
      </c>
      <c r="I26" s="4" t="s">
        <v>145</v>
      </c>
      <c r="J26" t="s">
        <v>107</v>
      </c>
      <c r="K26" s="1">
        <f t="shared" si="1"/>
        <v>93</v>
      </c>
      <c r="L26" s="1">
        <f t="shared" si="2"/>
        <v>116</v>
      </c>
      <c r="M26" s="1">
        <f t="shared" si="3"/>
        <v>139</v>
      </c>
      <c r="N26" s="1">
        <f t="shared" si="4"/>
        <v>162</v>
      </c>
      <c r="O26" s="1">
        <f t="shared" si="5"/>
        <v>185</v>
      </c>
    </row>
    <row r="27" spans="1:15" x14ac:dyDescent="0.25">
      <c r="A27" s="4" t="s">
        <v>29</v>
      </c>
      <c r="B27" s="18">
        <v>46122</v>
      </c>
      <c r="C27" s="10" t="s">
        <v>2</v>
      </c>
      <c r="D27" s="5" t="s">
        <v>2</v>
      </c>
      <c r="E27" s="5" t="s">
        <v>160</v>
      </c>
      <c r="F27" s="46">
        <f t="shared" ca="1" si="7"/>
        <v>20</v>
      </c>
      <c r="H27" s="13" t="s">
        <v>146</v>
      </c>
      <c r="I27" s="4" t="s">
        <v>147</v>
      </c>
      <c r="J27" t="s">
        <v>107</v>
      </c>
      <c r="K27" s="1">
        <f t="shared" si="1"/>
        <v>97</v>
      </c>
      <c r="L27" s="1">
        <f t="shared" si="2"/>
        <v>121</v>
      </c>
      <c r="M27" s="1">
        <f t="shared" si="3"/>
        <v>145</v>
      </c>
      <c r="N27" s="1">
        <f t="shared" si="4"/>
        <v>169</v>
      </c>
      <c r="O27" s="1">
        <f t="shared" si="5"/>
        <v>193</v>
      </c>
    </row>
    <row r="28" spans="1:15" x14ac:dyDescent="0.25">
      <c r="A28" s="24" t="s">
        <v>30</v>
      </c>
      <c r="B28" s="22">
        <v>46125</v>
      </c>
      <c r="C28" s="10" t="s">
        <v>2</v>
      </c>
      <c r="D28" s="5" t="s">
        <v>2</v>
      </c>
      <c r="E28" s="5" t="s">
        <v>140</v>
      </c>
      <c r="F28" s="46">
        <f t="shared" ca="1" si="7"/>
        <v>17</v>
      </c>
      <c r="H28" s="13" t="s">
        <v>148</v>
      </c>
      <c r="I28" s="4" t="s">
        <v>151</v>
      </c>
      <c r="J28" t="s">
        <v>107</v>
      </c>
      <c r="K28" s="1">
        <f t="shared" si="1"/>
        <v>101</v>
      </c>
      <c r="L28" s="1">
        <f t="shared" si="2"/>
        <v>126</v>
      </c>
      <c r="M28" s="1">
        <f t="shared" si="3"/>
        <v>151</v>
      </c>
      <c r="N28" s="1">
        <f t="shared" si="4"/>
        <v>176</v>
      </c>
      <c r="O28" s="1">
        <f t="shared" si="5"/>
        <v>201</v>
      </c>
    </row>
    <row r="29" spans="1:15" x14ac:dyDescent="0.25">
      <c r="A29" s="4" t="s">
        <v>31</v>
      </c>
      <c r="B29" s="18">
        <v>46126</v>
      </c>
      <c r="C29" s="10" t="s">
        <v>2</v>
      </c>
      <c r="D29" s="5" t="s">
        <v>2</v>
      </c>
      <c r="E29" s="5" t="s">
        <v>122</v>
      </c>
      <c r="F29" s="46">
        <f t="shared" ca="1" si="7"/>
        <v>16</v>
      </c>
      <c r="H29" s="13" t="s">
        <v>152</v>
      </c>
      <c r="I29" s="4" t="s">
        <v>153</v>
      </c>
      <c r="J29" t="s">
        <v>107</v>
      </c>
      <c r="K29" s="1">
        <f t="shared" si="1"/>
        <v>105</v>
      </c>
      <c r="L29" s="1">
        <f t="shared" si="2"/>
        <v>131</v>
      </c>
      <c r="M29" s="1">
        <f t="shared" si="3"/>
        <v>157</v>
      </c>
      <c r="N29" s="1">
        <f t="shared" si="4"/>
        <v>183</v>
      </c>
      <c r="O29" s="1">
        <f t="shared" si="5"/>
        <v>209</v>
      </c>
    </row>
    <row r="30" spans="1:15" x14ac:dyDescent="0.25">
      <c r="A30" s="4" t="s">
        <v>32</v>
      </c>
      <c r="B30" s="18">
        <v>46127</v>
      </c>
      <c r="C30" s="40" t="s">
        <v>154</v>
      </c>
      <c r="D30" s="41" t="s">
        <v>154</v>
      </c>
      <c r="E30" s="41" t="s">
        <v>154</v>
      </c>
      <c r="F30" s="42" t="s">
        <v>154</v>
      </c>
      <c r="H30" s="43" t="s">
        <v>154</v>
      </c>
      <c r="I30" s="44" t="s">
        <v>154</v>
      </c>
      <c r="J30" t="s">
        <v>107</v>
      </c>
      <c r="K30" s="1">
        <f t="shared" si="1"/>
        <v>109</v>
      </c>
      <c r="L30" s="1">
        <f t="shared" si="2"/>
        <v>136</v>
      </c>
      <c r="M30" s="1">
        <f t="shared" si="3"/>
        <v>163</v>
      </c>
      <c r="N30" s="1">
        <f t="shared" si="4"/>
        <v>190</v>
      </c>
      <c r="O30" s="1">
        <f t="shared" si="5"/>
        <v>217</v>
      </c>
    </row>
    <row r="31" spans="1:15" x14ac:dyDescent="0.25">
      <c r="A31" s="4" t="s">
        <v>33</v>
      </c>
      <c r="B31" s="18">
        <v>46128</v>
      </c>
      <c r="C31" s="10" t="s">
        <v>154</v>
      </c>
      <c r="D31" s="5" t="s">
        <v>154</v>
      </c>
      <c r="E31" s="5" t="s">
        <v>154</v>
      </c>
      <c r="F31" s="6" t="s">
        <v>154</v>
      </c>
      <c r="H31" s="43" t="s">
        <v>154</v>
      </c>
      <c r="I31" s="44" t="s">
        <v>154</v>
      </c>
      <c r="J31" t="s">
        <v>107</v>
      </c>
      <c r="K31" s="1">
        <f t="shared" si="1"/>
        <v>113</v>
      </c>
      <c r="L31" s="1">
        <f t="shared" si="2"/>
        <v>141</v>
      </c>
      <c r="M31" s="1">
        <f t="shared" si="3"/>
        <v>169</v>
      </c>
      <c r="N31" s="1">
        <f t="shared" si="4"/>
        <v>197</v>
      </c>
      <c r="O31" s="1">
        <f t="shared" si="5"/>
        <v>225</v>
      </c>
    </row>
    <row r="32" spans="1:15" x14ac:dyDescent="0.25">
      <c r="A32" s="4" t="s">
        <v>34</v>
      </c>
      <c r="B32" s="18">
        <v>46129</v>
      </c>
      <c r="C32" s="10" t="s">
        <v>154</v>
      </c>
      <c r="D32" s="5" t="s">
        <v>154</v>
      </c>
      <c r="E32" s="5" t="s">
        <v>154</v>
      </c>
      <c r="F32" s="6" t="s">
        <v>154</v>
      </c>
      <c r="H32" s="43" t="s">
        <v>154</v>
      </c>
      <c r="I32" s="44" t="s">
        <v>154</v>
      </c>
      <c r="J32" t="s">
        <v>107</v>
      </c>
      <c r="K32" s="1">
        <f t="shared" si="1"/>
        <v>117</v>
      </c>
      <c r="L32" s="1">
        <f t="shared" si="2"/>
        <v>146</v>
      </c>
      <c r="M32" s="1">
        <f t="shared" si="3"/>
        <v>175</v>
      </c>
      <c r="N32" s="1">
        <f t="shared" si="4"/>
        <v>204</v>
      </c>
      <c r="O32" s="1">
        <f t="shared" si="5"/>
        <v>233</v>
      </c>
    </row>
    <row r="33" spans="1:15" x14ac:dyDescent="0.25">
      <c r="A33" s="24" t="s">
        <v>6</v>
      </c>
      <c r="B33" s="22">
        <v>46132</v>
      </c>
      <c r="C33" s="10" t="s">
        <v>154</v>
      </c>
      <c r="D33" s="5" t="s">
        <v>154</v>
      </c>
      <c r="E33" s="5" t="s">
        <v>154</v>
      </c>
      <c r="F33" s="6" t="s">
        <v>154</v>
      </c>
      <c r="H33" s="43" t="s">
        <v>154</v>
      </c>
      <c r="I33" s="44" t="s">
        <v>154</v>
      </c>
      <c r="J33" t="s">
        <v>107</v>
      </c>
      <c r="K33" s="1">
        <f t="shared" si="1"/>
        <v>121</v>
      </c>
      <c r="L33" s="1">
        <f t="shared" si="2"/>
        <v>151</v>
      </c>
      <c r="M33" s="1">
        <f t="shared" si="3"/>
        <v>181</v>
      </c>
      <c r="N33" s="1">
        <f t="shared" si="4"/>
        <v>211</v>
      </c>
      <c r="O33" s="1">
        <f t="shared" si="5"/>
        <v>241</v>
      </c>
    </row>
    <row r="34" spans="1:15" x14ac:dyDescent="0.25">
      <c r="A34" s="4" t="s">
        <v>35</v>
      </c>
      <c r="B34" s="18">
        <v>46133</v>
      </c>
      <c r="C34" s="10" t="s">
        <v>2</v>
      </c>
      <c r="D34" s="5" t="s">
        <v>2</v>
      </c>
      <c r="E34" s="5" t="s">
        <v>2</v>
      </c>
      <c r="F34" s="6" t="str">
        <f t="shared" ref="F34:F92" ca="1" si="8">IF($B34+31=TODAY(),TODAY(), "")</f>
        <v/>
      </c>
      <c r="H34" s="13" t="s">
        <v>157</v>
      </c>
      <c r="I34" s="4" t="s">
        <v>158</v>
      </c>
      <c r="J34" t="s">
        <v>107</v>
      </c>
      <c r="K34" s="1">
        <f t="shared" si="1"/>
        <v>125</v>
      </c>
      <c r="L34" s="1">
        <f t="shared" si="2"/>
        <v>156</v>
      </c>
      <c r="M34" s="1">
        <f t="shared" si="3"/>
        <v>187</v>
      </c>
      <c r="N34" s="1">
        <f t="shared" si="4"/>
        <v>218</v>
      </c>
      <c r="O34" s="1">
        <f t="shared" si="5"/>
        <v>249</v>
      </c>
    </row>
    <row r="35" spans="1:15" x14ac:dyDescent="0.25">
      <c r="A35" s="4" t="s">
        <v>36</v>
      </c>
      <c r="B35" s="18">
        <v>46134</v>
      </c>
      <c r="C35" s="10" t="s">
        <v>2</v>
      </c>
      <c r="D35" s="5" t="s">
        <v>2</v>
      </c>
      <c r="E35" s="5" t="s">
        <v>2</v>
      </c>
      <c r="F35" s="6" t="str">
        <f t="shared" ca="1" si="8"/>
        <v/>
      </c>
      <c r="H35" s="13" t="s">
        <v>159</v>
      </c>
      <c r="I35" s="4" t="s">
        <v>161</v>
      </c>
      <c r="J35" t="s">
        <v>107</v>
      </c>
      <c r="K35" s="1">
        <f t="shared" si="1"/>
        <v>129</v>
      </c>
      <c r="L35" s="1">
        <f t="shared" si="2"/>
        <v>161</v>
      </c>
      <c r="M35" s="1">
        <f t="shared" si="3"/>
        <v>193</v>
      </c>
      <c r="N35" s="1">
        <f t="shared" si="4"/>
        <v>225</v>
      </c>
      <c r="O35" s="1">
        <f t="shared" si="5"/>
        <v>257</v>
      </c>
    </row>
    <row r="36" spans="1:15" x14ac:dyDescent="0.25">
      <c r="A36" s="4" t="s">
        <v>37</v>
      </c>
      <c r="B36" s="18">
        <v>46135</v>
      </c>
      <c r="C36" s="10" t="s">
        <v>2</v>
      </c>
      <c r="D36" s="5" t="s">
        <v>2</v>
      </c>
      <c r="E36" s="5" t="s">
        <v>2</v>
      </c>
      <c r="F36" s="6" t="str">
        <f t="shared" ca="1" si="8"/>
        <v/>
      </c>
      <c r="H36" s="13" t="s">
        <v>162</v>
      </c>
      <c r="I36" s="4" t="s">
        <v>163</v>
      </c>
      <c r="K36" s="1">
        <f t="shared" si="1"/>
        <v>133</v>
      </c>
      <c r="L36" s="1">
        <f t="shared" si="2"/>
        <v>166</v>
      </c>
      <c r="M36" s="1">
        <f t="shared" si="3"/>
        <v>199</v>
      </c>
      <c r="N36" s="1">
        <f t="shared" si="4"/>
        <v>232</v>
      </c>
      <c r="O36" s="1" t="str">
        <f t="shared" si="5"/>
        <v>Completion</v>
      </c>
    </row>
    <row r="37" spans="1:15" x14ac:dyDescent="0.25">
      <c r="A37" s="4" t="s">
        <v>38</v>
      </c>
      <c r="B37" s="18">
        <v>46136</v>
      </c>
      <c r="C37" s="10" t="s">
        <v>154</v>
      </c>
      <c r="D37" s="5" t="s">
        <v>154</v>
      </c>
      <c r="E37" s="5" t="s">
        <v>154</v>
      </c>
      <c r="F37" s="6" t="s">
        <v>154</v>
      </c>
      <c r="H37" s="43" t="s">
        <v>154</v>
      </c>
      <c r="I37" s="43" t="s">
        <v>154</v>
      </c>
      <c r="J37" t="s">
        <v>107</v>
      </c>
      <c r="K37" s="1">
        <f t="shared" si="1"/>
        <v>137</v>
      </c>
      <c r="L37" s="1">
        <f t="shared" si="2"/>
        <v>171</v>
      </c>
      <c r="M37" s="1">
        <f t="shared" si="3"/>
        <v>205</v>
      </c>
      <c r="N37" s="1">
        <f t="shared" si="4"/>
        <v>239</v>
      </c>
      <c r="O37" s="1" t="str">
        <f t="shared" si="5"/>
        <v/>
      </c>
    </row>
    <row r="38" spans="1:15" x14ac:dyDescent="0.25">
      <c r="A38" s="24" t="s">
        <v>39</v>
      </c>
      <c r="B38" s="22">
        <v>46139</v>
      </c>
      <c r="C38" s="10" t="s">
        <v>2</v>
      </c>
      <c r="D38" s="5" t="s">
        <v>2</v>
      </c>
      <c r="E38" s="5" t="str">
        <f t="shared" ref="E38:E92" ca="1" si="9">IF($B38+7=TODAY(),TODAY(), "")</f>
        <v/>
      </c>
      <c r="F38" s="6" t="str">
        <f t="shared" ca="1" si="8"/>
        <v/>
      </c>
      <c r="H38" s="13" t="s">
        <v>164</v>
      </c>
      <c r="I38" s="4" t="s">
        <v>166</v>
      </c>
      <c r="J38" t="s">
        <v>107</v>
      </c>
      <c r="K38" s="1">
        <f t="shared" si="1"/>
        <v>141</v>
      </c>
      <c r="L38" s="1">
        <f t="shared" si="2"/>
        <v>176</v>
      </c>
      <c r="M38" s="1">
        <f t="shared" si="3"/>
        <v>211</v>
      </c>
      <c r="N38" s="1">
        <f t="shared" si="4"/>
        <v>246</v>
      </c>
      <c r="O38" s="1" t="str">
        <f t="shared" si="5"/>
        <v/>
      </c>
    </row>
    <row r="39" spans="1:15" x14ac:dyDescent="0.25">
      <c r="A39" s="4" t="s">
        <v>40</v>
      </c>
      <c r="B39" s="18">
        <v>46140</v>
      </c>
      <c r="C39" s="10" t="s">
        <v>2</v>
      </c>
      <c r="D39" s="5" t="s">
        <v>2</v>
      </c>
      <c r="E39" s="5" t="str">
        <f t="shared" ca="1" si="9"/>
        <v/>
      </c>
      <c r="F39" s="6" t="str">
        <f t="shared" ca="1" si="8"/>
        <v/>
      </c>
      <c r="H39" s="13" t="s">
        <v>165</v>
      </c>
      <c r="I39" s="4" t="s">
        <v>167</v>
      </c>
      <c r="K39" s="1">
        <f t="shared" si="1"/>
        <v>145</v>
      </c>
      <c r="L39" s="1">
        <f t="shared" si="2"/>
        <v>181</v>
      </c>
      <c r="M39" s="1">
        <f t="shared" si="3"/>
        <v>217</v>
      </c>
      <c r="N39" s="1">
        <f t="shared" si="4"/>
        <v>253</v>
      </c>
      <c r="O39" s="1" t="str">
        <f t="shared" si="5"/>
        <v/>
      </c>
    </row>
    <row r="40" spans="1:15" x14ac:dyDescent="0.25">
      <c r="A40" s="4" t="s">
        <v>41</v>
      </c>
      <c r="B40" s="18">
        <v>46141</v>
      </c>
      <c r="C40" s="10" t="s">
        <v>2</v>
      </c>
      <c r="D40" s="5" t="s">
        <v>2</v>
      </c>
      <c r="E40" s="5" t="str">
        <f t="shared" ca="1" si="9"/>
        <v/>
      </c>
      <c r="F40" s="6" t="str">
        <f t="shared" ca="1" si="8"/>
        <v/>
      </c>
      <c r="H40" s="13" t="s">
        <v>168</v>
      </c>
      <c r="I40" s="4" t="s">
        <v>169</v>
      </c>
      <c r="J40" t="s">
        <v>107</v>
      </c>
      <c r="K40" s="1">
        <f t="shared" si="1"/>
        <v>149</v>
      </c>
      <c r="L40" s="1">
        <f t="shared" si="2"/>
        <v>186</v>
      </c>
      <c r="M40" s="1">
        <f t="shared" si="3"/>
        <v>223</v>
      </c>
      <c r="N40" s="1">
        <f t="shared" si="4"/>
        <v>260</v>
      </c>
      <c r="O40" s="1" t="str">
        <f t="shared" si="5"/>
        <v/>
      </c>
    </row>
    <row r="41" spans="1:15" x14ac:dyDescent="0.25">
      <c r="A41" s="4" t="s">
        <v>42</v>
      </c>
      <c r="B41" s="18">
        <v>46142</v>
      </c>
      <c r="C41" s="10" t="s">
        <v>2</v>
      </c>
      <c r="D41" s="5" t="str">
        <f t="shared" ref="D41:D92" ca="1" si="10">IF($B41+1=TODAY(),TODAY(), "")</f>
        <v/>
      </c>
      <c r="E41" s="5" t="str">
        <f t="shared" ca="1" si="9"/>
        <v/>
      </c>
      <c r="F41" s="6" t="str">
        <f t="shared" ca="1" si="8"/>
        <v/>
      </c>
      <c r="H41" s="13" t="s">
        <v>170</v>
      </c>
      <c r="I41" s="4" t="s">
        <v>171</v>
      </c>
      <c r="K41" s="1">
        <f t="shared" si="1"/>
        <v>153</v>
      </c>
      <c r="L41" s="1">
        <f t="shared" si="2"/>
        <v>191</v>
      </c>
      <c r="M41" s="1">
        <f t="shared" si="3"/>
        <v>229</v>
      </c>
      <c r="N41" s="1" t="str">
        <f t="shared" si="4"/>
        <v>Completion</v>
      </c>
      <c r="O41" s="1" t="str">
        <f t="shared" si="5"/>
        <v/>
      </c>
    </row>
    <row r="42" spans="1:15" x14ac:dyDescent="0.25">
      <c r="A42" s="4" t="s">
        <v>43</v>
      </c>
      <c r="B42" s="18">
        <v>46143</v>
      </c>
      <c r="C42" s="10" t="s">
        <v>154</v>
      </c>
      <c r="D42" s="5" t="s">
        <v>154</v>
      </c>
      <c r="E42" s="5" t="s">
        <v>154</v>
      </c>
      <c r="F42" s="6" t="s">
        <v>154</v>
      </c>
      <c r="H42" s="13"/>
      <c r="I42" s="4"/>
      <c r="J42" t="s">
        <v>107</v>
      </c>
      <c r="K42" s="1">
        <f t="shared" si="1"/>
        <v>157</v>
      </c>
      <c r="L42" s="1">
        <f t="shared" si="2"/>
        <v>196</v>
      </c>
      <c r="M42" s="1">
        <f t="shared" si="3"/>
        <v>235</v>
      </c>
      <c r="N42" s="1" t="str">
        <f t="shared" si="4"/>
        <v/>
      </c>
      <c r="O42" s="1" t="str">
        <f t="shared" si="5"/>
        <v/>
      </c>
    </row>
    <row r="43" spans="1:15" x14ac:dyDescent="0.25">
      <c r="A43" s="24" t="s">
        <v>44</v>
      </c>
      <c r="B43" s="22">
        <v>46146</v>
      </c>
      <c r="C43" s="10" t="str">
        <f t="shared" ref="C43:C72" ca="1" si="11">IF($B43=TODAY(),TODAY(), "")</f>
        <v/>
      </c>
      <c r="D43" s="5" t="str">
        <f t="shared" ca="1" si="10"/>
        <v/>
      </c>
      <c r="E43" s="5" t="str">
        <f t="shared" ca="1" si="9"/>
        <v/>
      </c>
      <c r="F43" s="6" t="str">
        <f t="shared" ca="1" si="8"/>
        <v/>
      </c>
      <c r="H43" s="13"/>
      <c r="I43" s="4"/>
      <c r="J43" t="s">
        <v>107</v>
      </c>
      <c r="K43" s="1">
        <f t="shared" si="1"/>
        <v>161</v>
      </c>
      <c r="L43" s="1">
        <f t="shared" si="2"/>
        <v>201</v>
      </c>
      <c r="M43" s="1">
        <f t="shared" si="3"/>
        <v>241</v>
      </c>
      <c r="N43" s="1" t="str">
        <f t="shared" si="4"/>
        <v/>
      </c>
      <c r="O43" s="1" t="str">
        <f t="shared" si="5"/>
        <v/>
      </c>
    </row>
    <row r="44" spans="1:15" x14ac:dyDescent="0.25">
      <c r="A44" s="4" t="s">
        <v>45</v>
      </c>
      <c r="B44" s="18">
        <v>46147</v>
      </c>
      <c r="C44" s="10" t="str">
        <f t="shared" ca="1" si="11"/>
        <v/>
      </c>
      <c r="D44" s="5" t="str">
        <f t="shared" ca="1" si="10"/>
        <v/>
      </c>
      <c r="E44" s="5" t="str">
        <f t="shared" ca="1" si="9"/>
        <v/>
      </c>
      <c r="F44" s="6" t="str">
        <f t="shared" ca="1" si="8"/>
        <v/>
      </c>
      <c r="H44" s="13"/>
      <c r="I44" s="4"/>
      <c r="J44" t="s">
        <v>107</v>
      </c>
      <c r="K44" s="1">
        <f t="shared" si="1"/>
        <v>165</v>
      </c>
      <c r="L44" s="1">
        <f t="shared" si="2"/>
        <v>206</v>
      </c>
      <c r="M44" s="1">
        <f t="shared" si="3"/>
        <v>247</v>
      </c>
      <c r="N44" s="1" t="str">
        <f t="shared" si="4"/>
        <v/>
      </c>
      <c r="O44" s="1" t="str">
        <f t="shared" si="5"/>
        <v/>
      </c>
    </row>
    <row r="45" spans="1:15" x14ac:dyDescent="0.25">
      <c r="A45" s="4" t="s">
        <v>46</v>
      </c>
      <c r="B45" s="18">
        <v>46148</v>
      </c>
      <c r="C45" s="10" t="str">
        <f t="shared" ca="1" si="11"/>
        <v/>
      </c>
      <c r="D45" s="5" t="str">
        <f t="shared" ca="1" si="10"/>
        <v/>
      </c>
      <c r="E45" s="5" t="str">
        <f t="shared" ca="1" si="9"/>
        <v/>
      </c>
      <c r="F45" s="6" t="str">
        <f t="shared" ca="1" si="8"/>
        <v/>
      </c>
      <c r="H45" s="13"/>
      <c r="I45" s="4"/>
      <c r="J45" t="s">
        <v>107</v>
      </c>
      <c r="K45" s="1">
        <f t="shared" si="1"/>
        <v>169</v>
      </c>
      <c r="L45" s="1">
        <f t="shared" si="2"/>
        <v>211</v>
      </c>
      <c r="M45" s="1">
        <f t="shared" si="3"/>
        <v>253</v>
      </c>
      <c r="N45" s="1" t="str">
        <f t="shared" si="4"/>
        <v/>
      </c>
      <c r="O45" s="1" t="str">
        <f t="shared" si="5"/>
        <v/>
      </c>
    </row>
    <row r="46" spans="1:15" x14ac:dyDescent="0.25">
      <c r="A46" s="4" t="s">
        <v>47</v>
      </c>
      <c r="B46" s="18">
        <v>46149</v>
      </c>
      <c r="C46" s="10" t="str">
        <f t="shared" ca="1" si="11"/>
        <v/>
      </c>
      <c r="D46" s="5" t="str">
        <f t="shared" ca="1" si="10"/>
        <v/>
      </c>
      <c r="E46" s="5" t="str">
        <f t="shared" ca="1" si="9"/>
        <v/>
      </c>
      <c r="F46" s="6" t="str">
        <f t="shared" ca="1" si="8"/>
        <v/>
      </c>
      <c r="H46" s="13"/>
      <c r="I46" s="4"/>
      <c r="J46" t="s">
        <v>107</v>
      </c>
      <c r="K46" s="1">
        <f t="shared" si="1"/>
        <v>173</v>
      </c>
      <c r="L46" s="1">
        <f t="shared" si="2"/>
        <v>216</v>
      </c>
      <c r="M46" s="1">
        <f t="shared" si="3"/>
        <v>259</v>
      </c>
      <c r="N46" s="1" t="str">
        <f t="shared" si="4"/>
        <v/>
      </c>
      <c r="O46" s="1" t="str">
        <f t="shared" si="5"/>
        <v/>
      </c>
    </row>
    <row r="47" spans="1:15" x14ac:dyDescent="0.25">
      <c r="A47" s="4" t="s">
        <v>48</v>
      </c>
      <c r="B47" s="18">
        <v>46150</v>
      </c>
      <c r="C47" s="10" t="str">
        <f t="shared" ca="1" si="11"/>
        <v/>
      </c>
      <c r="D47" s="5" t="str">
        <f t="shared" ca="1" si="10"/>
        <v/>
      </c>
      <c r="E47" s="5" t="str">
        <f t="shared" ca="1" si="9"/>
        <v/>
      </c>
      <c r="F47" s="6" t="str">
        <f t="shared" ca="1" si="8"/>
        <v/>
      </c>
      <c r="H47" s="13"/>
      <c r="I47" s="4"/>
      <c r="J47" t="s">
        <v>107</v>
      </c>
      <c r="K47" s="1">
        <f t="shared" si="1"/>
        <v>177</v>
      </c>
      <c r="L47" s="1">
        <f t="shared" si="2"/>
        <v>221</v>
      </c>
      <c r="M47" s="1" t="str">
        <f t="shared" si="3"/>
        <v>Completion</v>
      </c>
      <c r="N47" s="1" t="str">
        <f t="shared" si="4"/>
        <v/>
      </c>
      <c r="O47" s="1" t="str">
        <f t="shared" si="5"/>
        <v/>
      </c>
    </row>
    <row r="48" spans="1:15" x14ac:dyDescent="0.25">
      <c r="A48" s="24" t="s">
        <v>49</v>
      </c>
      <c r="B48" s="22">
        <v>46153</v>
      </c>
      <c r="C48" s="10" t="str">
        <f t="shared" ca="1" si="11"/>
        <v/>
      </c>
      <c r="D48" s="5" t="str">
        <f t="shared" ca="1" si="10"/>
        <v/>
      </c>
      <c r="E48" s="5" t="str">
        <f t="shared" ca="1" si="9"/>
        <v/>
      </c>
      <c r="F48" s="6" t="str">
        <f t="shared" ca="1" si="8"/>
        <v/>
      </c>
      <c r="H48" s="13"/>
      <c r="I48" s="4"/>
      <c r="J48" t="s">
        <v>107</v>
      </c>
      <c r="K48" s="1">
        <f t="shared" si="1"/>
        <v>181</v>
      </c>
      <c r="L48" s="1">
        <f t="shared" si="2"/>
        <v>226</v>
      </c>
      <c r="M48" s="1" t="str">
        <f t="shared" si="3"/>
        <v/>
      </c>
      <c r="N48" s="1" t="str">
        <f t="shared" si="4"/>
        <v/>
      </c>
      <c r="O48" s="1" t="str">
        <f t="shared" si="5"/>
        <v/>
      </c>
    </row>
    <row r="49" spans="1:15" x14ac:dyDescent="0.25">
      <c r="A49" s="4" t="s">
        <v>50</v>
      </c>
      <c r="B49" s="18">
        <v>46154</v>
      </c>
      <c r="C49" s="10" t="str">
        <f t="shared" ca="1" si="11"/>
        <v/>
      </c>
      <c r="D49" s="5" t="str">
        <f t="shared" ca="1" si="10"/>
        <v/>
      </c>
      <c r="E49" s="5" t="str">
        <f t="shared" ca="1" si="9"/>
        <v/>
      </c>
      <c r="F49" s="6" t="str">
        <f t="shared" ca="1" si="8"/>
        <v/>
      </c>
      <c r="H49" s="13"/>
      <c r="I49" s="4"/>
      <c r="J49" t="s">
        <v>107</v>
      </c>
      <c r="K49" s="1">
        <f t="shared" si="1"/>
        <v>185</v>
      </c>
      <c r="L49" s="1">
        <f t="shared" si="2"/>
        <v>231</v>
      </c>
      <c r="M49" s="1" t="str">
        <f t="shared" si="3"/>
        <v/>
      </c>
      <c r="N49" s="1" t="str">
        <f t="shared" si="4"/>
        <v/>
      </c>
      <c r="O49" s="1" t="str">
        <f t="shared" si="5"/>
        <v/>
      </c>
    </row>
    <row r="50" spans="1:15" x14ac:dyDescent="0.25">
      <c r="A50" s="4" t="s">
        <v>51</v>
      </c>
      <c r="B50" s="18">
        <v>46155</v>
      </c>
      <c r="C50" s="10" t="str">
        <f t="shared" ca="1" si="11"/>
        <v/>
      </c>
      <c r="D50" s="5" t="str">
        <f t="shared" ca="1" si="10"/>
        <v/>
      </c>
      <c r="E50" s="5" t="str">
        <f t="shared" ca="1" si="9"/>
        <v/>
      </c>
      <c r="F50" s="6" t="str">
        <f t="shared" ca="1" si="8"/>
        <v/>
      </c>
      <c r="H50" s="13"/>
      <c r="I50" s="4"/>
      <c r="J50" t="s">
        <v>107</v>
      </c>
      <c r="K50" s="1">
        <f t="shared" si="1"/>
        <v>189</v>
      </c>
      <c r="L50" s="1">
        <f t="shared" si="2"/>
        <v>236</v>
      </c>
      <c r="M50" s="1" t="str">
        <f t="shared" si="3"/>
        <v/>
      </c>
      <c r="N50" s="1" t="str">
        <f t="shared" si="4"/>
        <v/>
      </c>
      <c r="O50" s="1" t="str">
        <f t="shared" si="5"/>
        <v/>
      </c>
    </row>
    <row r="51" spans="1:15" x14ac:dyDescent="0.25">
      <c r="A51" s="4" t="s">
        <v>52</v>
      </c>
      <c r="B51" s="18">
        <v>46156</v>
      </c>
      <c r="C51" s="10" t="str">
        <f t="shared" ca="1" si="11"/>
        <v/>
      </c>
      <c r="D51" s="5" t="str">
        <f t="shared" ca="1" si="10"/>
        <v/>
      </c>
      <c r="E51" s="5" t="str">
        <f t="shared" ca="1" si="9"/>
        <v/>
      </c>
      <c r="F51" s="6" t="str">
        <f t="shared" ca="1" si="8"/>
        <v/>
      </c>
      <c r="H51" s="13"/>
      <c r="I51" s="4"/>
      <c r="J51" t="s">
        <v>107</v>
      </c>
      <c r="K51" s="1">
        <f t="shared" si="1"/>
        <v>193</v>
      </c>
      <c r="L51" s="1">
        <f t="shared" si="2"/>
        <v>241</v>
      </c>
      <c r="M51" s="1" t="str">
        <f t="shared" si="3"/>
        <v/>
      </c>
      <c r="N51" s="1" t="str">
        <f t="shared" si="4"/>
        <v/>
      </c>
      <c r="O51" s="1" t="str">
        <f t="shared" si="5"/>
        <v/>
      </c>
    </row>
    <row r="52" spans="1:15" x14ac:dyDescent="0.25">
      <c r="A52" s="4" t="s">
        <v>53</v>
      </c>
      <c r="B52" s="18">
        <v>46157</v>
      </c>
      <c r="C52" s="10" t="str">
        <f t="shared" ca="1" si="11"/>
        <v/>
      </c>
      <c r="D52" s="5" t="str">
        <f t="shared" ca="1" si="10"/>
        <v/>
      </c>
      <c r="E52" s="5" t="str">
        <f t="shared" ca="1" si="9"/>
        <v/>
      </c>
      <c r="F52" s="6" t="str">
        <f t="shared" ca="1" si="8"/>
        <v/>
      </c>
      <c r="H52" s="13"/>
      <c r="I52" s="4"/>
      <c r="J52" t="s">
        <v>107</v>
      </c>
      <c r="K52" s="1">
        <f t="shared" si="1"/>
        <v>197</v>
      </c>
      <c r="L52" s="1">
        <f t="shared" si="2"/>
        <v>246</v>
      </c>
      <c r="M52" s="1" t="str">
        <f t="shared" si="3"/>
        <v/>
      </c>
      <c r="N52" s="1" t="str">
        <f t="shared" si="4"/>
        <v/>
      </c>
      <c r="O52" s="1" t="str">
        <f t="shared" si="5"/>
        <v/>
      </c>
    </row>
    <row r="53" spans="1:15" x14ac:dyDescent="0.25">
      <c r="A53" s="24" t="s">
        <v>54</v>
      </c>
      <c r="B53" s="22">
        <v>46160</v>
      </c>
      <c r="C53" s="10" t="str">
        <f t="shared" ca="1" si="11"/>
        <v/>
      </c>
      <c r="D53" s="5" t="str">
        <f t="shared" ca="1" si="10"/>
        <v/>
      </c>
      <c r="E53" s="5" t="str">
        <f t="shared" ca="1" si="9"/>
        <v/>
      </c>
      <c r="F53" s="6" t="str">
        <f t="shared" ca="1" si="8"/>
        <v/>
      </c>
      <c r="H53" s="13"/>
      <c r="I53" s="4"/>
      <c r="J53" t="s">
        <v>107</v>
      </c>
      <c r="K53" s="1">
        <f t="shared" si="1"/>
        <v>201</v>
      </c>
      <c r="L53" s="1">
        <f t="shared" si="2"/>
        <v>251</v>
      </c>
      <c r="M53" s="1" t="str">
        <f t="shared" si="3"/>
        <v/>
      </c>
      <c r="N53" s="1" t="str">
        <f t="shared" si="4"/>
        <v/>
      </c>
      <c r="O53" s="1" t="str">
        <f t="shared" si="5"/>
        <v/>
      </c>
    </row>
    <row r="54" spans="1:15" x14ac:dyDescent="0.25">
      <c r="A54" s="4" t="s">
        <v>55</v>
      </c>
      <c r="B54" s="18">
        <v>46161</v>
      </c>
      <c r="C54" s="10" t="str">
        <f t="shared" ca="1" si="11"/>
        <v/>
      </c>
      <c r="D54" s="5" t="str">
        <f t="shared" ca="1" si="10"/>
        <v/>
      </c>
      <c r="E54" s="5" t="str">
        <f t="shared" ca="1" si="9"/>
        <v/>
      </c>
      <c r="F54" s="6" t="str">
        <f t="shared" ca="1" si="8"/>
        <v/>
      </c>
      <c r="H54" s="13"/>
      <c r="I54" s="4"/>
      <c r="J54" t="s">
        <v>107</v>
      </c>
      <c r="K54" s="1">
        <f t="shared" si="1"/>
        <v>205</v>
      </c>
      <c r="L54" s="1">
        <f t="shared" si="2"/>
        <v>256</v>
      </c>
      <c r="M54" s="1" t="str">
        <f t="shared" si="3"/>
        <v/>
      </c>
      <c r="N54" s="1" t="str">
        <f t="shared" si="4"/>
        <v/>
      </c>
      <c r="O54" s="1" t="str">
        <f t="shared" si="5"/>
        <v/>
      </c>
    </row>
    <row r="55" spans="1:15" x14ac:dyDescent="0.25">
      <c r="A55" s="4" t="s">
        <v>56</v>
      </c>
      <c r="B55" s="18">
        <v>46162</v>
      </c>
      <c r="C55" s="10" t="str">
        <f t="shared" ca="1" si="11"/>
        <v/>
      </c>
      <c r="D55" s="5" t="str">
        <f t="shared" ca="1" si="10"/>
        <v/>
      </c>
      <c r="E55" s="5" t="str">
        <f t="shared" ca="1" si="9"/>
        <v/>
      </c>
      <c r="F55" s="6" t="str">
        <f t="shared" ca="1" si="8"/>
        <v/>
      </c>
      <c r="H55" s="13"/>
      <c r="I55" s="4"/>
      <c r="J55" t="s">
        <v>107</v>
      </c>
      <c r="K55" s="1">
        <f t="shared" si="1"/>
        <v>209</v>
      </c>
      <c r="L55" s="1" t="str">
        <f t="shared" si="2"/>
        <v>Completion</v>
      </c>
      <c r="M55" s="1" t="str">
        <f t="shared" si="3"/>
        <v/>
      </c>
      <c r="N55" s="1" t="str">
        <f t="shared" si="4"/>
        <v/>
      </c>
      <c r="O55" s="1" t="str">
        <f t="shared" si="5"/>
        <v/>
      </c>
    </row>
    <row r="56" spans="1:15" x14ac:dyDescent="0.25">
      <c r="A56" s="4" t="s">
        <v>57</v>
      </c>
      <c r="B56" s="18">
        <v>46163</v>
      </c>
      <c r="C56" s="10" t="str">
        <f t="shared" ca="1" si="11"/>
        <v/>
      </c>
      <c r="D56" s="5" t="str">
        <f t="shared" ca="1" si="10"/>
        <v/>
      </c>
      <c r="E56" s="5" t="str">
        <f t="shared" ca="1" si="9"/>
        <v/>
      </c>
      <c r="F56" s="6" t="str">
        <f t="shared" ca="1" si="8"/>
        <v/>
      </c>
      <c r="H56" s="13"/>
      <c r="I56" s="4"/>
      <c r="J56" t="s">
        <v>107</v>
      </c>
      <c r="K56" s="1">
        <f t="shared" si="1"/>
        <v>213</v>
      </c>
      <c r="L56" s="1" t="str">
        <f t="shared" si="2"/>
        <v/>
      </c>
      <c r="M56" s="1" t="str">
        <f t="shared" si="3"/>
        <v/>
      </c>
      <c r="N56" s="1" t="str">
        <f t="shared" si="4"/>
        <v/>
      </c>
      <c r="O56" s="1" t="str">
        <f t="shared" si="5"/>
        <v/>
      </c>
    </row>
    <row r="57" spans="1:15" x14ac:dyDescent="0.25">
      <c r="A57" s="4" t="s">
        <v>58</v>
      </c>
      <c r="B57" s="18">
        <v>46164</v>
      </c>
      <c r="C57" s="10" t="str">
        <f t="shared" ca="1" si="11"/>
        <v/>
      </c>
      <c r="D57" s="5" t="str">
        <f t="shared" ca="1" si="10"/>
        <v/>
      </c>
      <c r="E57" s="5" t="str">
        <f t="shared" ca="1" si="9"/>
        <v/>
      </c>
      <c r="F57" s="6" t="str">
        <f t="shared" ca="1" si="8"/>
        <v/>
      </c>
      <c r="H57" s="13"/>
      <c r="I57" s="4"/>
      <c r="J57" t="s">
        <v>107</v>
      </c>
      <c r="K57" s="1">
        <f t="shared" si="1"/>
        <v>217</v>
      </c>
      <c r="L57" s="1" t="str">
        <f t="shared" si="2"/>
        <v/>
      </c>
      <c r="M57" s="1" t="str">
        <f t="shared" si="3"/>
        <v/>
      </c>
      <c r="N57" s="1" t="str">
        <f t="shared" si="4"/>
        <v/>
      </c>
      <c r="O57" s="1" t="str">
        <f t="shared" si="5"/>
        <v/>
      </c>
    </row>
    <row r="58" spans="1:15" x14ac:dyDescent="0.25">
      <c r="A58" s="24" t="s">
        <v>59</v>
      </c>
      <c r="B58" s="22">
        <v>46167</v>
      </c>
      <c r="C58" s="10" t="str">
        <f t="shared" ca="1" si="11"/>
        <v/>
      </c>
      <c r="D58" s="5" t="str">
        <f t="shared" ca="1" si="10"/>
        <v/>
      </c>
      <c r="E58" s="5" t="str">
        <f t="shared" ca="1" si="9"/>
        <v/>
      </c>
      <c r="F58" s="6" t="str">
        <f t="shared" ca="1" si="8"/>
        <v/>
      </c>
      <c r="H58" s="13"/>
      <c r="I58" s="4"/>
      <c r="J58" t="s">
        <v>107</v>
      </c>
      <c r="K58" s="1">
        <f t="shared" si="1"/>
        <v>221</v>
      </c>
      <c r="L58" s="1" t="str">
        <f t="shared" si="2"/>
        <v/>
      </c>
      <c r="M58" s="1" t="str">
        <f t="shared" si="3"/>
        <v/>
      </c>
      <c r="N58" s="1" t="str">
        <f t="shared" si="4"/>
        <v/>
      </c>
      <c r="O58" s="1" t="str">
        <f t="shared" si="5"/>
        <v/>
      </c>
    </row>
    <row r="59" spans="1:15" x14ac:dyDescent="0.25">
      <c r="A59" s="4" t="s">
        <v>60</v>
      </c>
      <c r="B59" s="18">
        <v>46168</v>
      </c>
      <c r="C59" s="10" t="str">
        <f t="shared" ca="1" si="11"/>
        <v/>
      </c>
      <c r="D59" s="5" t="str">
        <f t="shared" ca="1" si="10"/>
        <v/>
      </c>
      <c r="E59" s="5" t="str">
        <f t="shared" ca="1" si="9"/>
        <v/>
      </c>
      <c r="F59" s="6" t="str">
        <f t="shared" ca="1" si="8"/>
        <v/>
      </c>
      <c r="H59" s="13"/>
      <c r="I59" s="4"/>
      <c r="J59" t="s">
        <v>107</v>
      </c>
      <c r="K59" s="1">
        <f t="shared" si="1"/>
        <v>225</v>
      </c>
      <c r="L59" s="1" t="str">
        <f t="shared" si="2"/>
        <v/>
      </c>
      <c r="M59" s="1" t="str">
        <f t="shared" si="3"/>
        <v/>
      </c>
      <c r="N59" s="1" t="str">
        <f t="shared" si="4"/>
        <v/>
      </c>
      <c r="O59" s="1" t="str">
        <f t="shared" si="5"/>
        <v/>
      </c>
    </row>
    <row r="60" spans="1:15" x14ac:dyDescent="0.25">
      <c r="A60" s="4" t="s">
        <v>61</v>
      </c>
      <c r="B60" s="18">
        <v>46169</v>
      </c>
      <c r="C60" s="10" t="str">
        <f t="shared" ca="1" si="11"/>
        <v/>
      </c>
      <c r="D60" s="5" t="str">
        <f t="shared" ca="1" si="10"/>
        <v/>
      </c>
      <c r="E60" s="5" t="str">
        <f t="shared" ca="1" si="9"/>
        <v/>
      </c>
      <c r="F60" s="6" t="str">
        <f t="shared" ca="1" si="8"/>
        <v/>
      </c>
      <c r="H60" s="13"/>
      <c r="I60" s="4"/>
      <c r="J60" t="s">
        <v>107</v>
      </c>
      <c r="K60" s="1">
        <f t="shared" si="1"/>
        <v>229</v>
      </c>
      <c r="L60" s="1" t="str">
        <f t="shared" si="2"/>
        <v/>
      </c>
      <c r="M60" s="1" t="str">
        <f t="shared" si="3"/>
        <v/>
      </c>
      <c r="N60" s="1" t="str">
        <f t="shared" si="4"/>
        <v/>
      </c>
      <c r="O60" s="1" t="str">
        <f t="shared" si="5"/>
        <v/>
      </c>
    </row>
    <row r="61" spans="1:15" x14ac:dyDescent="0.25">
      <c r="A61" s="4" t="s">
        <v>62</v>
      </c>
      <c r="B61" s="18">
        <v>46170</v>
      </c>
      <c r="C61" s="10" t="str">
        <f t="shared" ca="1" si="11"/>
        <v/>
      </c>
      <c r="D61" s="5" t="str">
        <f t="shared" ca="1" si="10"/>
        <v/>
      </c>
      <c r="E61" s="5" t="str">
        <f t="shared" ca="1" si="9"/>
        <v/>
      </c>
      <c r="F61" s="6" t="str">
        <f t="shared" ca="1" si="8"/>
        <v/>
      </c>
      <c r="H61" s="13"/>
      <c r="I61" s="4"/>
      <c r="J61" t="s">
        <v>107</v>
      </c>
      <c r="K61" s="1">
        <f t="shared" si="1"/>
        <v>233</v>
      </c>
      <c r="L61" s="1" t="str">
        <f t="shared" si="2"/>
        <v/>
      </c>
      <c r="M61" s="1" t="str">
        <f t="shared" si="3"/>
        <v/>
      </c>
      <c r="N61" s="1" t="str">
        <f t="shared" si="4"/>
        <v/>
      </c>
      <c r="O61" s="1" t="str">
        <f t="shared" si="5"/>
        <v/>
      </c>
    </row>
    <row r="62" spans="1:15" x14ac:dyDescent="0.25">
      <c r="A62" s="4" t="s">
        <v>63</v>
      </c>
      <c r="B62" s="18">
        <v>46171</v>
      </c>
      <c r="C62" s="10" t="str">
        <f t="shared" ca="1" si="11"/>
        <v/>
      </c>
      <c r="D62" s="5" t="str">
        <f t="shared" ca="1" si="10"/>
        <v/>
      </c>
      <c r="E62" s="5" t="str">
        <f t="shared" ca="1" si="9"/>
        <v/>
      </c>
      <c r="F62" s="6" t="str">
        <f t="shared" ca="1" si="8"/>
        <v/>
      </c>
      <c r="H62" s="13"/>
      <c r="I62" s="4"/>
      <c r="J62" t="s">
        <v>107</v>
      </c>
      <c r="K62" s="1">
        <f t="shared" si="1"/>
        <v>237</v>
      </c>
      <c r="L62" s="1" t="str">
        <f t="shared" si="2"/>
        <v/>
      </c>
      <c r="M62" s="1" t="str">
        <f t="shared" si="3"/>
        <v/>
      </c>
      <c r="N62" s="1" t="str">
        <f t="shared" si="4"/>
        <v/>
      </c>
      <c r="O62" s="1" t="str">
        <f t="shared" si="5"/>
        <v/>
      </c>
    </row>
    <row r="63" spans="1:15" x14ac:dyDescent="0.25">
      <c r="A63" s="24" t="s">
        <v>64</v>
      </c>
      <c r="B63" s="22">
        <v>46174</v>
      </c>
      <c r="C63" s="10" t="str">
        <f t="shared" ca="1" si="11"/>
        <v/>
      </c>
      <c r="D63" s="5" t="str">
        <f t="shared" ca="1" si="10"/>
        <v/>
      </c>
      <c r="E63" s="5" t="str">
        <f t="shared" ca="1" si="9"/>
        <v/>
      </c>
      <c r="F63" s="6" t="str">
        <f t="shared" ca="1" si="8"/>
        <v/>
      </c>
      <c r="H63" s="13"/>
      <c r="I63" s="4"/>
      <c r="J63" t="s">
        <v>107</v>
      </c>
      <c r="K63" s="1">
        <f t="shared" si="1"/>
        <v>241</v>
      </c>
      <c r="L63" s="1" t="str">
        <f t="shared" si="2"/>
        <v/>
      </c>
      <c r="M63" s="1" t="str">
        <f t="shared" si="3"/>
        <v/>
      </c>
      <c r="N63" s="1" t="str">
        <f t="shared" si="4"/>
        <v/>
      </c>
      <c r="O63" s="1" t="str">
        <f t="shared" si="5"/>
        <v/>
      </c>
    </row>
    <row r="64" spans="1:15" x14ac:dyDescent="0.25">
      <c r="A64" s="4" t="s">
        <v>65</v>
      </c>
      <c r="B64" s="18">
        <v>46175</v>
      </c>
      <c r="C64" s="10" t="str">
        <f t="shared" ca="1" si="11"/>
        <v/>
      </c>
      <c r="D64" s="5" t="str">
        <f t="shared" ca="1" si="10"/>
        <v/>
      </c>
      <c r="E64" s="5" t="str">
        <f t="shared" ca="1" si="9"/>
        <v/>
      </c>
      <c r="F64" s="6" t="str">
        <f t="shared" ca="1" si="8"/>
        <v/>
      </c>
      <c r="H64" s="13"/>
      <c r="I64" s="4"/>
      <c r="J64" t="s">
        <v>107</v>
      </c>
      <c r="K64" s="1">
        <f t="shared" si="1"/>
        <v>245</v>
      </c>
      <c r="L64" s="1" t="str">
        <f t="shared" si="2"/>
        <v/>
      </c>
      <c r="M64" s="1" t="str">
        <f t="shared" si="3"/>
        <v/>
      </c>
      <c r="N64" s="1" t="str">
        <f t="shared" si="4"/>
        <v/>
      </c>
      <c r="O64" s="1" t="str">
        <f t="shared" si="5"/>
        <v/>
      </c>
    </row>
    <row r="65" spans="1:15" x14ac:dyDescent="0.25">
      <c r="A65" s="4" t="s">
        <v>66</v>
      </c>
      <c r="B65" s="18">
        <v>46176</v>
      </c>
      <c r="C65" s="10" t="str">
        <f t="shared" ca="1" si="11"/>
        <v/>
      </c>
      <c r="D65" s="5" t="str">
        <f t="shared" ca="1" si="10"/>
        <v/>
      </c>
      <c r="E65" s="5" t="str">
        <f t="shared" ca="1" si="9"/>
        <v/>
      </c>
      <c r="F65" s="6" t="str">
        <f t="shared" ca="1" si="8"/>
        <v/>
      </c>
      <c r="H65" s="13"/>
      <c r="I65" s="4"/>
      <c r="J65" t="s">
        <v>107</v>
      </c>
      <c r="K65" s="1">
        <f t="shared" si="1"/>
        <v>249</v>
      </c>
      <c r="L65" s="1" t="str">
        <f t="shared" si="2"/>
        <v/>
      </c>
      <c r="M65" s="1" t="str">
        <f t="shared" si="3"/>
        <v/>
      </c>
      <c r="N65" s="1" t="str">
        <f t="shared" si="4"/>
        <v/>
      </c>
      <c r="O65" s="1" t="str">
        <f t="shared" si="5"/>
        <v/>
      </c>
    </row>
    <row r="66" spans="1:15" x14ac:dyDescent="0.25">
      <c r="A66" s="4" t="s">
        <v>67</v>
      </c>
      <c r="B66" s="18">
        <v>46177</v>
      </c>
      <c r="C66" s="10" t="str">
        <f t="shared" ca="1" si="11"/>
        <v/>
      </c>
      <c r="D66" s="5" t="str">
        <f t="shared" ca="1" si="10"/>
        <v/>
      </c>
      <c r="E66" s="5" t="str">
        <f t="shared" ca="1" si="9"/>
        <v/>
      </c>
      <c r="F66" s="6" t="str">
        <f t="shared" ca="1" si="8"/>
        <v/>
      </c>
      <c r="H66" s="13"/>
      <c r="I66" s="4"/>
      <c r="J66" t="s">
        <v>107</v>
      </c>
      <c r="K66" s="1">
        <f t="shared" si="1"/>
        <v>253</v>
      </c>
      <c r="L66" s="1" t="str">
        <f t="shared" si="2"/>
        <v/>
      </c>
      <c r="M66" s="1" t="str">
        <f t="shared" si="3"/>
        <v/>
      </c>
      <c r="N66" s="1" t="str">
        <f t="shared" si="4"/>
        <v/>
      </c>
      <c r="O66" s="1" t="str">
        <f t="shared" si="5"/>
        <v/>
      </c>
    </row>
    <row r="67" spans="1:15" x14ac:dyDescent="0.25">
      <c r="A67" s="4" t="s">
        <v>68</v>
      </c>
      <c r="B67" s="18">
        <v>46178</v>
      </c>
      <c r="C67" s="10" t="str">
        <f t="shared" ca="1" si="11"/>
        <v/>
      </c>
      <c r="D67" s="5" t="str">
        <f t="shared" ca="1" si="10"/>
        <v/>
      </c>
      <c r="E67" s="5" t="str">
        <f t="shared" ca="1" si="9"/>
        <v/>
      </c>
      <c r="F67" s="6" t="str">
        <f t="shared" ca="1" si="8"/>
        <v/>
      </c>
      <c r="H67" s="13"/>
      <c r="I67" s="4"/>
      <c r="J67" t="s">
        <v>107</v>
      </c>
      <c r="K67" s="1">
        <f t="shared" si="1"/>
        <v>257</v>
      </c>
      <c r="L67" s="1" t="str">
        <f t="shared" si="2"/>
        <v/>
      </c>
      <c r="M67" s="1" t="str">
        <f t="shared" si="3"/>
        <v/>
      </c>
      <c r="N67" s="1" t="str">
        <f t="shared" si="4"/>
        <v/>
      </c>
      <c r="O67" s="1" t="str">
        <f t="shared" si="5"/>
        <v/>
      </c>
    </row>
    <row r="68" spans="1:15" x14ac:dyDescent="0.25">
      <c r="A68" s="24" t="s">
        <v>69</v>
      </c>
      <c r="B68" s="22">
        <v>46181</v>
      </c>
      <c r="C68" s="10" t="str">
        <f t="shared" ca="1" si="11"/>
        <v/>
      </c>
      <c r="D68" s="5" t="str">
        <f t="shared" ca="1" si="10"/>
        <v/>
      </c>
      <c r="E68" s="5" t="str">
        <f t="shared" ca="1" si="9"/>
        <v/>
      </c>
      <c r="F68" s="6" t="str">
        <f t="shared" ca="1" si="8"/>
        <v/>
      </c>
      <c r="H68" s="13"/>
      <c r="I68" s="4"/>
      <c r="J68" t="s">
        <v>107</v>
      </c>
      <c r="K68" s="1" t="str">
        <f t="shared" si="1"/>
        <v>Completion</v>
      </c>
      <c r="L68" s="1" t="str">
        <f t="shared" si="2"/>
        <v/>
      </c>
      <c r="M68" s="1" t="str">
        <f t="shared" si="3"/>
        <v/>
      </c>
      <c r="N68" s="1" t="str">
        <f t="shared" si="4"/>
        <v/>
      </c>
      <c r="O68" s="1" t="str">
        <f t="shared" si="5"/>
        <v/>
      </c>
    </row>
    <row r="69" spans="1:15" x14ac:dyDescent="0.25">
      <c r="A69" s="4" t="s">
        <v>70</v>
      </c>
      <c r="B69" s="18">
        <v>46182</v>
      </c>
      <c r="C69" s="10" t="str">
        <f t="shared" ca="1" si="11"/>
        <v/>
      </c>
      <c r="D69" s="5" t="str">
        <f t="shared" ca="1" si="10"/>
        <v/>
      </c>
      <c r="E69" s="5" t="str">
        <f t="shared" ca="1" si="9"/>
        <v/>
      </c>
      <c r="F69" s="6" t="str">
        <f t="shared" ca="1" si="8"/>
        <v/>
      </c>
      <c r="H69" s="13"/>
      <c r="I69" s="4"/>
      <c r="J69" t="s">
        <v>107</v>
      </c>
      <c r="K69" s="1" t="str">
        <f t="shared" ref="K69:K92" si="12">IF(ISNUMBER(K68),IF(K68+K$2&gt;$Q$2, "Completion", K68+K$2),"")</f>
        <v/>
      </c>
      <c r="L69" s="1" t="str">
        <f t="shared" ref="L69:L92" si="13">IF(ISNUMBER(L68),IF(L68+L$2&gt;$Q$2, "Completion", L68+L$2),"")</f>
        <v/>
      </c>
      <c r="M69" s="1" t="str">
        <f t="shared" ref="M69:M92" si="14">IF(ISNUMBER(M68),IF(M68+M$2&gt;$Q$2, "Completion", M68+M$2),"")</f>
        <v/>
      </c>
      <c r="N69" s="1" t="str">
        <f t="shared" ref="N69:N92" si="15">IF(ISNUMBER(N68),IF(N68+N$2&gt;$Q$2, "Completion", N68+N$2),"")</f>
        <v/>
      </c>
      <c r="O69" s="1" t="str">
        <f t="shared" ref="O69:O92" si="16">IF(ISNUMBER(O68),IF(O68+O$2&gt;$Q$2, "Completion", O68+O$2),"")</f>
        <v/>
      </c>
    </row>
    <row r="70" spans="1:15" x14ac:dyDescent="0.25">
      <c r="A70" s="4" t="s">
        <v>71</v>
      </c>
      <c r="B70" s="18">
        <v>46183</v>
      </c>
      <c r="C70" s="10" t="str">
        <f t="shared" ca="1" si="11"/>
        <v/>
      </c>
      <c r="D70" s="5" t="str">
        <f t="shared" ca="1" si="10"/>
        <v/>
      </c>
      <c r="E70" s="5" t="str">
        <f t="shared" ca="1" si="9"/>
        <v/>
      </c>
      <c r="F70" s="6" t="str">
        <f t="shared" ca="1" si="8"/>
        <v/>
      </c>
      <c r="H70" s="13"/>
      <c r="I70" s="4"/>
      <c r="J70" t="s">
        <v>107</v>
      </c>
      <c r="K70" s="1" t="str">
        <f t="shared" si="12"/>
        <v/>
      </c>
      <c r="L70" s="1" t="str">
        <f t="shared" si="13"/>
        <v/>
      </c>
      <c r="M70" s="1" t="str">
        <f t="shared" si="14"/>
        <v/>
      </c>
      <c r="N70" s="1" t="str">
        <f t="shared" si="15"/>
        <v/>
      </c>
      <c r="O70" s="1" t="str">
        <f t="shared" si="16"/>
        <v/>
      </c>
    </row>
    <row r="71" spans="1:15" x14ac:dyDescent="0.25">
      <c r="A71" s="4" t="s">
        <v>72</v>
      </c>
      <c r="B71" s="18">
        <v>46184</v>
      </c>
      <c r="C71" s="10" t="str">
        <f t="shared" ca="1" si="11"/>
        <v/>
      </c>
      <c r="D71" s="5" t="str">
        <f t="shared" ca="1" si="10"/>
        <v/>
      </c>
      <c r="E71" s="5" t="str">
        <f t="shared" ca="1" si="9"/>
        <v/>
      </c>
      <c r="F71" s="6" t="str">
        <f t="shared" ca="1" si="8"/>
        <v/>
      </c>
      <c r="H71" s="13"/>
      <c r="I71" s="4"/>
      <c r="J71" t="s">
        <v>107</v>
      </c>
      <c r="K71" s="1" t="str">
        <f t="shared" si="12"/>
        <v/>
      </c>
      <c r="L71" s="1" t="str">
        <f t="shared" si="13"/>
        <v/>
      </c>
      <c r="M71" s="1" t="str">
        <f t="shared" si="14"/>
        <v/>
      </c>
      <c r="N71" s="1" t="str">
        <f t="shared" si="15"/>
        <v/>
      </c>
      <c r="O71" s="1" t="str">
        <f t="shared" si="16"/>
        <v/>
      </c>
    </row>
    <row r="72" spans="1:15" x14ac:dyDescent="0.25">
      <c r="A72" s="4" t="s">
        <v>73</v>
      </c>
      <c r="B72" s="18">
        <v>46185</v>
      </c>
      <c r="C72" s="10" t="str">
        <f t="shared" ca="1" si="11"/>
        <v/>
      </c>
      <c r="D72" s="5" t="str">
        <f t="shared" ca="1" si="10"/>
        <v/>
      </c>
      <c r="E72" s="5" t="str">
        <f t="shared" ca="1" si="9"/>
        <v/>
      </c>
      <c r="F72" s="6" t="str">
        <f t="shared" ca="1" si="8"/>
        <v/>
      </c>
      <c r="H72" s="13"/>
      <c r="I72" s="4"/>
      <c r="J72" t="s">
        <v>107</v>
      </c>
      <c r="K72" s="1" t="str">
        <f t="shared" si="12"/>
        <v/>
      </c>
      <c r="L72" s="1" t="str">
        <f t="shared" si="13"/>
        <v/>
      </c>
      <c r="M72" s="1" t="str">
        <f t="shared" si="14"/>
        <v/>
      </c>
      <c r="N72" s="1" t="str">
        <f t="shared" si="15"/>
        <v/>
      </c>
      <c r="O72" s="1" t="str">
        <f t="shared" si="16"/>
        <v/>
      </c>
    </row>
    <row r="73" spans="1:15" x14ac:dyDescent="0.25">
      <c r="A73" s="24" t="s">
        <v>74</v>
      </c>
      <c r="B73" s="22">
        <v>46188</v>
      </c>
      <c r="C73" s="10" t="str">
        <f t="shared" ref="C73:C92" ca="1" si="17">IF($B73=TODAY(),TODAY(), "")</f>
        <v/>
      </c>
      <c r="D73" s="5" t="str">
        <f t="shared" ca="1" si="10"/>
        <v/>
      </c>
      <c r="E73" s="5" t="str">
        <f t="shared" ca="1" si="9"/>
        <v/>
      </c>
      <c r="F73" s="6" t="str">
        <f t="shared" ca="1" si="8"/>
        <v/>
      </c>
      <c r="H73" s="13"/>
      <c r="I73" s="4"/>
      <c r="J73" t="s">
        <v>107</v>
      </c>
      <c r="K73" s="1" t="str">
        <f t="shared" si="12"/>
        <v/>
      </c>
      <c r="L73" s="1" t="str">
        <f t="shared" si="13"/>
        <v/>
      </c>
      <c r="M73" s="1" t="str">
        <f t="shared" si="14"/>
        <v/>
      </c>
      <c r="N73" s="1" t="str">
        <f t="shared" si="15"/>
        <v/>
      </c>
      <c r="O73" s="1" t="str">
        <f t="shared" si="16"/>
        <v/>
      </c>
    </row>
    <row r="74" spans="1:15" x14ac:dyDescent="0.25">
      <c r="A74" s="4" t="s">
        <v>75</v>
      </c>
      <c r="B74" s="18">
        <v>46189</v>
      </c>
      <c r="C74" s="10" t="str">
        <f t="shared" ca="1" si="17"/>
        <v/>
      </c>
      <c r="D74" s="5" t="str">
        <f t="shared" ca="1" si="10"/>
        <v/>
      </c>
      <c r="E74" s="5" t="str">
        <f t="shared" ca="1" si="9"/>
        <v/>
      </c>
      <c r="F74" s="6" t="str">
        <f t="shared" ca="1" si="8"/>
        <v/>
      </c>
      <c r="H74" s="13"/>
      <c r="I74" s="4"/>
      <c r="J74" t="s">
        <v>107</v>
      </c>
      <c r="K74" s="1" t="str">
        <f t="shared" si="12"/>
        <v/>
      </c>
      <c r="L74" s="1" t="str">
        <f t="shared" si="13"/>
        <v/>
      </c>
      <c r="M74" s="1" t="str">
        <f t="shared" si="14"/>
        <v/>
      </c>
      <c r="N74" s="1" t="str">
        <f t="shared" si="15"/>
        <v/>
      </c>
      <c r="O74" s="1" t="str">
        <f t="shared" si="16"/>
        <v/>
      </c>
    </row>
    <row r="75" spans="1:15" x14ac:dyDescent="0.25">
      <c r="A75" s="4" t="s">
        <v>76</v>
      </c>
      <c r="B75" s="18">
        <v>46190</v>
      </c>
      <c r="C75" s="10" t="str">
        <f t="shared" ca="1" si="17"/>
        <v/>
      </c>
      <c r="D75" s="5" t="str">
        <f t="shared" ca="1" si="10"/>
        <v/>
      </c>
      <c r="E75" s="5" t="str">
        <f t="shared" ca="1" si="9"/>
        <v/>
      </c>
      <c r="F75" s="6" t="str">
        <f t="shared" ca="1" si="8"/>
        <v/>
      </c>
      <c r="H75" s="13"/>
      <c r="I75" s="4"/>
      <c r="J75" t="s">
        <v>107</v>
      </c>
      <c r="K75" s="1" t="str">
        <f t="shared" si="12"/>
        <v/>
      </c>
      <c r="L75" s="1" t="str">
        <f t="shared" si="13"/>
        <v/>
      </c>
      <c r="M75" s="1" t="str">
        <f t="shared" si="14"/>
        <v/>
      </c>
      <c r="N75" s="1" t="str">
        <f t="shared" si="15"/>
        <v/>
      </c>
      <c r="O75" s="1" t="str">
        <f t="shared" si="16"/>
        <v/>
      </c>
    </row>
    <row r="76" spans="1:15" x14ac:dyDescent="0.25">
      <c r="A76" s="4" t="s">
        <v>77</v>
      </c>
      <c r="B76" s="18">
        <v>46191</v>
      </c>
      <c r="C76" s="10" t="str">
        <f t="shared" ca="1" si="17"/>
        <v/>
      </c>
      <c r="D76" s="5" t="str">
        <f t="shared" ca="1" si="10"/>
        <v/>
      </c>
      <c r="E76" s="5" t="str">
        <f t="shared" ca="1" si="9"/>
        <v/>
      </c>
      <c r="F76" s="6" t="str">
        <f t="shared" ca="1" si="8"/>
        <v/>
      </c>
      <c r="H76" s="13"/>
      <c r="I76" s="4"/>
      <c r="J76" t="s">
        <v>107</v>
      </c>
      <c r="K76" s="1" t="str">
        <f t="shared" si="12"/>
        <v/>
      </c>
      <c r="L76" s="1" t="str">
        <f t="shared" si="13"/>
        <v/>
      </c>
      <c r="M76" s="1" t="str">
        <f t="shared" si="14"/>
        <v/>
      </c>
      <c r="N76" s="1" t="str">
        <f t="shared" si="15"/>
        <v/>
      </c>
      <c r="O76" s="1" t="str">
        <f t="shared" si="16"/>
        <v/>
      </c>
    </row>
    <row r="77" spans="1:15" x14ac:dyDescent="0.25">
      <c r="A77" s="4" t="s">
        <v>78</v>
      </c>
      <c r="B77" s="18">
        <v>46192</v>
      </c>
      <c r="C77" s="10" t="str">
        <f t="shared" ca="1" si="17"/>
        <v/>
      </c>
      <c r="D77" s="5" t="str">
        <f t="shared" ca="1" si="10"/>
        <v/>
      </c>
      <c r="E77" s="5" t="str">
        <f t="shared" ca="1" si="9"/>
        <v/>
      </c>
      <c r="F77" s="6" t="str">
        <f t="shared" ca="1" si="8"/>
        <v/>
      </c>
      <c r="H77" s="13"/>
      <c r="I77" s="4"/>
      <c r="J77" t="s">
        <v>107</v>
      </c>
      <c r="K77" s="1" t="str">
        <f t="shared" si="12"/>
        <v/>
      </c>
      <c r="L77" s="1" t="str">
        <f t="shared" si="13"/>
        <v/>
      </c>
      <c r="M77" s="1" t="str">
        <f t="shared" si="14"/>
        <v/>
      </c>
      <c r="N77" s="1" t="str">
        <f t="shared" si="15"/>
        <v/>
      </c>
      <c r="O77" s="1" t="str">
        <f t="shared" si="16"/>
        <v/>
      </c>
    </row>
    <row r="78" spans="1:15" x14ac:dyDescent="0.25">
      <c r="A78" s="24" t="s">
        <v>79</v>
      </c>
      <c r="B78" s="22">
        <v>46195</v>
      </c>
      <c r="C78" s="10" t="str">
        <f t="shared" ca="1" si="17"/>
        <v/>
      </c>
      <c r="D78" s="5" t="str">
        <f t="shared" ca="1" si="10"/>
        <v/>
      </c>
      <c r="E78" s="5" t="str">
        <f t="shared" ca="1" si="9"/>
        <v/>
      </c>
      <c r="F78" s="6" t="str">
        <f t="shared" ca="1" si="8"/>
        <v/>
      </c>
      <c r="H78" s="13"/>
      <c r="I78" s="4"/>
      <c r="J78" t="s">
        <v>107</v>
      </c>
      <c r="K78" s="1" t="str">
        <f t="shared" si="12"/>
        <v/>
      </c>
      <c r="L78" s="1" t="str">
        <f t="shared" si="13"/>
        <v/>
      </c>
      <c r="M78" s="1" t="str">
        <f t="shared" si="14"/>
        <v/>
      </c>
      <c r="N78" s="1" t="str">
        <f t="shared" si="15"/>
        <v/>
      </c>
      <c r="O78" s="1" t="str">
        <f t="shared" si="16"/>
        <v/>
      </c>
    </row>
    <row r="79" spans="1:15" x14ac:dyDescent="0.25">
      <c r="A79" s="4" t="s">
        <v>80</v>
      </c>
      <c r="B79" s="18">
        <v>46196</v>
      </c>
      <c r="C79" s="10" t="str">
        <f t="shared" ca="1" si="17"/>
        <v/>
      </c>
      <c r="D79" s="5" t="str">
        <f t="shared" ca="1" si="10"/>
        <v/>
      </c>
      <c r="E79" s="5" t="str">
        <f t="shared" ca="1" si="9"/>
        <v/>
      </c>
      <c r="F79" s="6" t="str">
        <f t="shared" ca="1" si="8"/>
        <v/>
      </c>
      <c r="H79" s="13"/>
      <c r="I79" s="4"/>
      <c r="J79" t="s">
        <v>107</v>
      </c>
      <c r="K79" s="1" t="str">
        <f t="shared" si="12"/>
        <v/>
      </c>
      <c r="L79" s="1" t="str">
        <f t="shared" si="13"/>
        <v/>
      </c>
      <c r="M79" s="1" t="str">
        <f t="shared" si="14"/>
        <v/>
      </c>
      <c r="N79" s="1" t="str">
        <f t="shared" si="15"/>
        <v/>
      </c>
      <c r="O79" s="1" t="str">
        <f t="shared" si="16"/>
        <v/>
      </c>
    </row>
    <row r="80" spans="1:15" x14ac:dyDescent="0.25">
      <c r="A80" s="4" t="s">
        <v>81</v>
      </c>
      <c r="B80" s="18">
        <v>46197</v>
      </c>
      <c r="C80" s="10" t="str">
        <f t="shared" ca="1" si="17"/>
        <v/>
      </c>
      <c r="D80" s="5" t="str">
        <f t="shared" ca="1" si="10"/>
        <v/>
      </c>
      <c r="E80" s="5" t="str">
        <f t="shared" ca="1" si="9"/>
        <v/>
      </c>
      <c r="F80" s="6" t="str">
        <f t="shared" ca="1" si="8"/>
        <v/>
      </c>
      <c r="H80" s="13"/>
      <c r="I80" s="4"/>
      <c r="J80" t="s">
        <v>107</v>
      </c>
      <c r="K80" s="1" t="str">
        <f t="shared" si="12"/>
        <v/>
      </c>
      <c r="L80" s="1" t="str">
        <f t="shared" si="13"/>
        <v/>
      </c>
      <c r="M80" s="1" t="str">
        <f t="shared" si="14"/>
        <v/>
      </c>
      <c r="N80" s="1" t="str">
        <f t="shared" si="15"/>
        <v/>
      </c>
      <c r="O80" s="1" t="str">
        <f t="shared" si="16"/>
        <v/>
      </c>
    </row>
    <row r="81" spans="1:15" x14ac:dyDescent="0.25">
      <c r="A81" s="4" t="s">
        <v>82</v>
      </c>
      <c r="B81" s="18">
        <v>46198</v>
      </c>
      <c r="C81" s="10" t="str">
        <f t="shared" ca="1" si="17"/>
        <v/>
      </c>
      <c r="D81" s="5" t="str">
        <f t="shared" ca="1" si="10"/>
        <v/>
      </c>
      <c r="E81" s="5" t="str">
        <f t="shared" ca="1" si="9"/>
        <v/>
      </c>
      <c r="F81" s="6" t="str">
        <f t="shared" ca="1" si="8"/>
        <v/>
      </c>
      <c r="H81" s="13"/>
      <c r="I81" s="4"/>
      <c r="J81" t="s">
        <v>107</v>
      </c>
      <c r="K81" s="1" t="str">
        <f t="shared" si="12"/>
        <v/>
      </c>
      <c r="L81" s="1" t="str">
        <f t="shared" si="13"/>
        <v/>
      </c>
      <c r="M81" s="1" t="str">
        <f t="shared" si="14"/>
        <v/>
      </c>
      <c r="N81" s="1" t="str">
        <f t="shared" si="15"/>
        <v/>
      </c>
      <c r="O81" s="1" t="str">
        <f t="shared" si="16"/>
        <v/>
      </c>
    </row>
    <row r="82" spans="1:15" x14ac:dyDescent="0.25">
      <c r="A82" s="4" t="s">
        <v>83</v>
      </c>
      <c r="B82" s="18">
        <v>46199</v>
      </c>
      <c r="C82" s="10" t="str">
        <f t="shared" ca="1" si="17"/>
        <v/>
      </c>
      <c r="D82" s="5" t="str">
        <f t="shared" ca="1" si="10"/>
        <v/>
      </c>
      <c r="E82" s="5" t="str">
        <f t="shared" ca="1" si="9"/>
        <v/>
      </c>
      <c r="F82" s="6" t="str">
        <f t="shared" ca="1" si="8"/>
        <v/>
      </c>
      <c r="H82" s="13"/>
      <c r="I82" s="4"/>
      <c r="J82" t="s">
        <v>107</v>
      </c>
      <c r="K82" s="1" t="str">
        <f t="shared" si="12"/>
        <v/>
      </c>
      <c r="L82" s="1" t="str">
        <f t="shared" si="13"/>
        <v/>
      </c>
      <c r="M82" s="1" t="str">
        <f t="shared" si="14"/>
        <v/>
      </c>
      <c r="N82" s="1" t="str">
        <f t="shared" si="15"/>
        <v/>
      </c>
      <c r="O82" s="1" t="str">
        <f t="shared" si="16"/>
        <v/>
      </c>
    </row>
    <row r="83" spans="1:15" x14ac:dyDescent="0.25">
      <c r="A83" s="24" t="s">
        <v>84</v>
      </c>
      <c r="B83" s="22">
        <v>46202</v>
      </c>
      <c r="C83" s="10" t="str">
        <f t="shared" ca="1" si="17"/>
        <v/>
      </c>
      <c r="D83" s="5" t="str">
        <f t="shared" ca="1" si="10"/>
        <v/>
      </c>
      <c r="E83" s="5" t="str">
        <f t="shared" ca="1" si="9"/>
        <v/>
      </c>
      <c r="F83" s="6" t="str">
        <f t="shared" ca="1" si="8"/>
        <v/>
      </c>
      <c r="H83" s="13"/>
      <c r="I83" s="4"/>
      <c r="J83" t="s">
        <v>107</v>
      </c>
      <c r="K83" s="1" t="str">
        <f t="shared" si="12"/>
        <v/>
      </c>
      <c r="L83" s="1" t="str">
        <f t="shared" si="13"/>
        <v/>
      </c>
      <c r="M83" s="1" t="str">
        <f t="shared" si="14"/>
        <v/>
      </c>
      <c r="N83" s="1" t="str">
        <f t="shared" si="15"/>
        <v/>
      </c>
      <c r="O83" s="1" t="str">
        <f t="shared" si="16"/>
        <v/>
      </c>
    </row>
    <row r="84" spans="1:15" x14ac:dyDescent="0.25">
      <c r="A84" s="4" t="s">
        <v>85</v>
      </c>
      <c r="B84" s="18">
        <v>46203</v>
      </c>
      <c r="C84" s="10" t="str">
        <f t="shared" ca="1" si="17"/>
        <v/>
      </c>
      <c r="D84" s="5" t="str">
        <f t="shared" ca="1" si="10"/>
        <v/>
      </c>
      <c r="E84" s="5" t="str">
        <f t="shared" ca="1" si="9"/>
        <v/>
      </c>
      <c r="F84" s="6" t="str">
        <f t="shared" ca="1" si="8"/>
        <v/>
      </c>
      <c r="H84" s="13"/>
      <c r="I84" s="4"/>
      <c r="J84" t="s">
        <v>107</v>
      </c>
      <c r="K84" s="1" t="str">
        <f t="shared" si="12"/>
        <v/>
      </c>
      <c r="L84" s="1" t="str">
        <f t="shared" si="13"/>
        <v/>
      </c>
      <c r="M84" s="1" t="str">
        <f t="shared" si="14"/>
        <v/>
      </c>
      <c r="N84" s="1" t="str">
        <f t="shared" si="15"/>
        <v/>
      </c>
      <c r="O84" s="1" t="str">
        <f t="shared" si="16"/>
        <v/>
      </c>
    </row>
    <row r="85" spans="1:15" x14ac:dyDescent="0.25">
      <c r="A85" s="4" t="s">
        <v>86</v>
      </c>
      <c r="B85" s="18">
        <v>46204</v>
      </c>
      <c r="C85" s="10" t="str">
        <f t="shared" ca="1" si="17"/>
        <v/>
      </c>
      <c r="D85" s="5" t="str">
        <f t="shared" ca="1" si="10"/>
        <v/>
      </c>
      <c r="E85" s="5" t="str">
        <f t="shared" ca="1" si="9"/>
        <v/>
      </c>
      <c r="F85" s="6" t="str">
        <f t="shared" ca="1" si="8"/>
        <v/>
      </c>
      <c r="H85" s="13"/>
      <c r="I85" s="4"/>
      <c r="J85" t="s">
        <v>107</v>
      </c>
      <c r="K85" s="1" t="str">
        <f t="shared" si="12"/>
        <v/>
      </c>
      <c r="L85" s="1" t="str">
        <f t="shared" si="13"/>
        <v/>
      </c>
      <c r="M85" s="1" t="str">
        <f t="shared" si="14"/>
        <v/>
      </c>
      <c r="N85" s="1" t="str">
        <f t="shared" si="15"/>
        <v/>
      </c>
      <c r="O85" s="1" t="str">
        <f t="shared" si="16"/>
        <v/>
      </c>
    </row>
    <row r="86" spans="1:15" x14ac:dyDescent="0.25">
      <c r="A86" s="4" t="s">
        <v>87</v>
      </c>
      <c r="B86" s="18">
        <v>46205</v>
      </c>
      <c r="C86" s="10" t="str">
        <f t="shared" ca="1" si="17"/>
        <v/>
      </c>
      <c r="D86" s="5" t="str">
        <f t="shared" ca="1" si="10"/>
        <v/>
      </c>
      <c r="E86" s="5" t="str">
        <f t="shared" ca="1" si="9"/>
        <v/>
      </c>
      <c r="F86" s="6" t="str">
        <f t="shared" ca="1" si="8"/>
        <v/>
      </c>
      <c r="H86" s="13"/>
      <c r="I86" s="4"/>
      <c r="J86" t="s">
        <v>107</v>
      </c>
      <c r="K86" s="1" t="str">
        <f t="shared" si="12"/>
        <v/>
      </c>
      <c r="L86" s="1" t="str">
        <f t="shared" si="13"/>
        <v/>
      </c>
      <c r="M86" s="1" t="str">
        <f t="shared" si="14"/>
        <v/>
      </c>
      <c r="N86" s="1" t="str">
        <f t="shared" si="15"/>
        <v/>
      </c>
      <c r="O86" s="1" t="str">
        <f t="shared" si="16"/>
        <v/>
      </c>
    </row>
    <row r="87" spans="1:15" x14ac:dyDescent="0.25">
      <c r="A87" s="4" t="s">
        <v>88</v>
      </c>
      <c r="B87" s="18">
        <v>46206</v>
      </c>
      <c r="C87" s="10" t="str">
        <f t="shared" ca="1" si="17"/>
        <v/>
      </c>
      <c r="D87" s="5" t="str">
        <f t="shared" ca="1" si="10"/>
        <v/>
      </c>
      <c r="E87" s="5" t="str">
        <f t="shared" ca="1" si="9"/>
        <v/>
      </c>
      <c r="F87" s="6" t="str">
        <f t="shared" ca="1" si="8"/>
        <v/>
      </c>
      <c r="H87" s="13"/>
      <c r="I87" s="4"/>
      <c r="J87" t="s">
        <v>107</v>
      </c>
      <c r="K87" s="1" t="str">
        <f t="shared" si="12"/>
        <v/>
      </c>
      <c r="L87" s="1" t="str">
        <f t="shared" si="13"/>
        <v/>
      </c>
      <c r="M87" s="1" t="str">
        <f t="shared" si="14"/>
        <v/>
      </c>
      <c r="N87" s="1" t="str">
        <f t="shared" si="15"/>
        <v/>
      </c>
      <c r="O87" s="1" t="str">
        <f t="shared" si="16"/>
        <v/>
      </c>
    </row>
    <row r="88" spans="1:15" x14ac:dyDescent="0.25">
      <c r="A88" s="24" t="s">
        <v>89</v>
      </c>
      <c r="B88" s="22">
        <v>46209</v>
      </c>
      <c r="C88" s="10" t="str">
        <f t="shared" ca="1" si="17"/>
        <v/>
      </c>
      <c r="D88" s="5" t="str">
        <f t="shared" ca="1" si="10"/>
        <v/>
      </c>
      <c r="E88" s="5" t="str">
        <f t="shared" ca="1" si="9"/>
        <v/>
      </c>
      <c r="F88" s="6" t="str">
        <f t="shared" ca="1" si="8"/>
        <v/>
      </c>
      <c r="H88" s="13"/>
      <c r="I88" s="4"/>
      <c r="J88" t="s">
        <v>107</v>
      </c>
      <c r="K88" s="1" t="str">
        <f t="shared" si="12"/>
        <v/>
      </c>
      <c r="L88" s="1" t="str">
        <f t="shared" si="13"/>
        <v/>
      </c>
      <c r="M88" s="1" t="str">
        <f t="shared" si="14"/>
        <v/>
      </c>
      <c r="N88" s="1" t="str">
        <f t="shared" si="15"/>
        <v/>
      </c>
      <c r="O88" s="1" t="str">
        <f t="shared" si="16"/>
        <v/>
      </c>
    </row>
    <row r="89" spans="1:15" x14ac:dyDescent="0.25">
      <c r="A89" s="4" t="s">
        <v>90</v>
      </c>
      <c r="B89" s="18">
        <v>46210</v>
      </c>
      <c r="C89" s="10" t="str">
        <f t="shared" ca="1" si="17"/>
        <v/>
      </c>
      <c r="D89" s="5" t="str">
        <f t="shared" ca="1" si="10"/>
        <v/>
      </c>
      <c r="E89" s="5" t="str">
        <f t="shared" ca="1" si="9"/>
        <v/>
      </c>
      <c r="F89" s="6" t="str">
        <f t="shared" ca="1" si="8"/>
        <v/>
      </c>
      <c r="H89" s="13"/>
      <c r="I89" s="4"/>
      <c r="J89" t="s">
        <v>107</v>
      </c>
      <c r="K89" s="1" t="str">
        <f t="shared" si="12"/>
        <v/>
      </c>
      <c r="L89" s="1" t="str">
        <f t="shared" si="13"/>
        <v/>
      </c>
      <c r="M89" s="1" t="str">
        <f t="shared" si="14"/>
        <v/>
      </c>
      <c r="N89" s="1" t="str">
        <f t="shared" si="15"/>
        <v/>
      </c>
      <c r="O89" s="1" t="str">
        <f t="shared" si="16"/>
        <v/>
      </c>
    </row>
    <row r="90" spans="1:15" x14ac:dyDescent="0.25">
      <c r="A90" s="4" t="s">
        <v>91</v>
      </c>
      <c r="B90" s="18">
        <v>46211</v>
      </c>
      <c r="C90" s="10" t="str">
        <f t="shared" ca="1" si="17"/>
        <v/>
      </c>
      <c r="D90" s="5" t="str">
        <f t="shared" ca="1" si="10"/>
        <v/>
      </c>
      <c r="E90" s="5" t="str">
        <f t="shared" ca="1" si="9"/>
        <v/>
      </c>
      <c r="F90" s="6" t="str">
        <f t="shared" ca="1" si="8"/>
        <v/>
      </c>
      <c r="H90" s="13"/>
      <c r="I90" s="4"/>
      <c r="J90" t="s">
        <v>107</v>
      </c>
      <c r="K90" s="1" t="str">
        <f t="shared" si="12"/>
        <v/>
      </c>
      <c r="L90" s="1" t="str">
        <f t="shared" si="13"/>
        <v/>
      </c>
      <c r="M90" s="1" t="str">
        <f t="shared" si="14"/>
        <v/>
      </c>
      <c r="N90" s="1" t="str">
        <f t="shared" si="15"/>
        <v/>
      </c>
      <c r="O90" s="1" t="str">
        <f t="shared" si="16"/>
        <v/>
      </c>
    </row>
    <row r="91" spans="1:15" x14ac:dyDescent="0.25">
      <c r="A91" s="4" t="s">
        <v>92</v>
      </c>
      <c r="B91" s="18">
        <v>46212</v>
      </c>
      <c r="C91" s="10" t="str">
        <f t="shared" ca="1" si="17"/>
        <v/>
      </c>
      <c r="D91" s="5" t="str">
        <f t="shared" ca="1" si="10"/>
        <v/>
      </c>
      <c r="E91" s="5" t="str">
        <f t="shared" ca="1" si="9"/>
        <v/>
      </c>
      <c r="F91" s="6" t="str">
        <f t="shared" ca="1" si="8"/>
        <v/>
      </c>
      <c r="H91" s="13"/>
      <c r="I91" s="4"/>
      <c r="J91" t="s">
        <v>107</v>
      </c>
      <c r="K91" s="1" t="str">
        <f t="shared" si="12"/>
        <v/>
      </c>
      <c r="L91" s="1" t="str">
        <f t="shared" si="13"/>
        <v/>
      </c>
      <c r="M91" s="1" t="str">
        <f t="shared" si="14"/>
        <v/>
      </c>
      <c r="N91" s="1" t="str">
        <f t="shared" si="15"/>
        <v/>
      </c>
      <c r="O91" s="1" t="str">
        <f t="shared" si="16"/>
        <v/>
      </c>
    </row>
    <row r="92" spans="1:15" ht="15.75" thickBot="1" x14ac:dyDescent="0.3">
      <c r="A92" s="7" t="s">
        <v>93</v>
      </c>
      <c r="B92" s="19">
        <v>46213</v>
      </c>
      <c r="C92" s="10" t="str">
        <f t="shared" ca="1" si="17"/>
        <v/>
      </c>
      <c r="D92" s="5" t="str">
        <f t="shared" ca="1" si="10"/>
        <v/>
      </c>
      <c r="E92" s="5" t="str">
        <f t="shared" ca="1" si="9"/>
        <v/>
      </c>
      <c r="F92" s="6" t="str">
        <f t="shared" ca="1" si="8"/>
        <v/>
      </c>
      <c r="H92" s="14"/>
      <c r="I92" s="7"/>
      <c r="J92" t="s">
        <v>107</v>
      </c>
      <c r="K92" s="1" t="str">
        <f t="shared" si="12"/>
        <v/>
      </c>
      <c r="L92" s="1" t="str">
        <f t="shared" si="13"/>
        <v/>
      </c>
      <c r="M92" s="1" t="str">
        <f t="shared" si="14"/>
        <v/>
      </c>
      <c r="N92" s="1" t="str">
        <f t="shared" si="15"/>
        <v/>
      </c>
      <c r="O92" s="1" t="str">
        <f t="shared" si="16"/>
        <v/>
      </c>
    </row>
  </sheetData>
  <autoFilter ref="A2:Q92" xr:uid="{A1360F02-9BD9-4F73-8C6D-1D1B5566B219}"/>
  <mergeCells count="10">
    <mergeCell ref="F1:F2"/>
    <mergeCell ref="H1:I1"/>
    <mergeCell ref="K1:O1"/>
    <mergeCell ref="C21:F24"/>
    <mergeCell ref="H21:I24"/>
    <mergeCell ref="A1:A2"/>
    <mergeCell ref="B1:B2"/>
    <mergeCell ref="C1:C2"/>
    <mergeCell ref="D1:D2"/>
    <mergeCell ref="E1:E2"/>
  </mergeCells>
  <conditionalFormatting sqref="C21 C3:F20 C25:F92">
    <cfRule type="containsBlanks" dxfId="3" priority="1">
      <formula>LEN(TRIM(C3))=0</formula>
    </cfRule>
    <cfRule type="cellIs" dxfId="2" priority="3" operator="equal">
      <formula>"v"</formula>
    </cfRule>
    <cfRule type="notContainsBlanks" dxfId="1" priority="7">
      <formula>LEN(TRIM(C3))&gt;0</formula>
    </cfRule>
  </conditionalFormatting>
  <conditionalFormatting sqref="C3:F58 C42:C92 D41:D92 E37:E92 F35:F92">
    <cfRule type="containsText" dxfId="0" priority="2" operator="containsText" text="v (">
      <formula>NOT(ISERROR(SEARCH("v (",C3)))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1C5A-A4AA-43E1-B21E-DC7B771860A1}">
  <dimension ref="A1:B2"/>
  <sheetViews>
    <sheetView workbookViewId="0">
      <selection activeCell="D8" sqref="D8"/>
    </sheetView>
  </sheetViews>
  <sheetFormatPr defaultRowHeight="15" x14ac:dyDescent="0.25"/>
  <cols>
    <col min="1" max="2" width="11.85546875" style="8" customWidth="1"/>
  </cols>
  <sheetData>
    <row r="1" spans="1:2" x14ac:dyDescent="0.25">
      <c r="A1" s="25" t="s">
        <v>113</v>
      </c>
    </row>
    <row r="2" spans="1:2" x14ac:dyDescent="0.25">
      <c r="A2" s="8" t="s">
        <v>114</v>
      </c>
      <c r="B2" s="26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學習進度（CISSP）</vt:lpstr>
      <vt:lpstr>難關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Chun Chi MAK</dc:creator>
  <cp:lastModifiedBy>Martin Chun Chi MAK</cp:lastModifiedBy>
  <dcterms:created xsi:type="dcterms:W3CDTF">2015-06-05T18:19:34Z</dcterms:created>
  <dcterms:modified xsi:type="dcterms:W3CDTF">2026-04-30T10:01:28Z</dcterms:modified>
</cp:coreProperties>
</file>